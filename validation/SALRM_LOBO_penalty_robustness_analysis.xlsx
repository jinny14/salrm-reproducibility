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9fe4e6ed564273" /></Relationships>
</file>

<file path=xl/workbook.xml><?xml version="1.0" encoding="utf-8"?>
<x:workbook xmlns:x="http://schemas.openxmlformats.org/spreadsheetml/2006/main">
  <x:sheets>
    <x:sheet xmlns:r="http://schemas.openxmlformats.org/officeDocument/2006/relationships" name="Summary" sheetId="1" r:id="Rffa113a159514cbc"/>
    <x:sheet xmlns:r="http://schemas.openxmlformats.org/officeDocument/2006/relationships" name="LOBO Detail" sheetId="2" r:id="R7b853b9c51fa4413"/>
    <x:sheet xmlns:r="http://schemas.openxmlformats.org/officeDocument/2006/relationships" name="Penalty Sensitivity" sheetId="3" r:id="R1b1f9cfdffd040ba"/>
    <x:sheet xmlns:r="http://schemas.openxmlformats.org/officeDocument/2006/relationships" name="Crossovers" sheetId="4" r:id="R1b9396fcd2614eab"/>
    <x:sheet xmlns:r="http://schemas.openxmlformats.org/officeDocument/2006/relationships" name="Validation &amp; Methods" sheetId="5" r:id="R67af48c4818c47f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00"/>
    <x:numFmt numFmtId="203" formatCode="0.000"/>
    <x:numFmt numFmtId="204" formatCode="0.000000"/>
  </x:numFmts>
  <x:fonts count="13">
    <x:font>
      <x:sz val="11"/>
      <x:name val="Carlito"/>
    </x:font>
    <x:font>
      <x:b/>
      <x:sz val="18"/>
      <x:color rgb="FFFFFFFF"/>
      <x:name val="Carlito"/>
    </x:font>
    <x:font>
      <x:sz val="10"/>
      <x:color rgb="FF5E6B78"/>
      <x:name val="Carlito"/>
    </x:font>
    <x:font>
      <x:b/>
      <x:sz val="11"/>
      <x:color rgb="FFFFFFFF"/>
      <x:name val="Carlito"/>
    </x:font>
    <x:font>
      <x:sz val="10"/>
      <x:color rgb="FF182433"/>
      <x:name val="Carlito"/>
    </x:font>
    <x:font>
      <x:sz val="11"/>
      <x:color rgb="FF182433"/>
      <x:name val="Carlito"/>
    </x:font>
    <x:font>
      <x:b/>
      <x:sz val="18"/>
      <x:color rgb="FFFFFFFF"/>
      <x:name val="Arial"/>
    </x:font>
    <x:font>
      <x:sz val="10"/>
      <x:color rgb="FF5E6B78"/>
      <x:name val="Arial"/>
    </x:font>
    <x:font>
      <x:sz val="11"/>
      <x:name val="Arial"/>
    </x:font>
    <x:font>
      <x:b/>
      <x:sz val="11"/>
      <x:color rgb="FFFFFFFF"/>
      <x:name val="Arial"/>
    </x:font>
    <x:font>
      <x:sz val="10"/>
      <x:color rgb="FF182433"/>
      <x:name val="Arial"/>
    </x:font>
    <x:font>
      <x:sz val="11"/>
      <x:color rgb="FF182433"/>
      <x:name val="Arial"/>
    </x:font>
    <x:font>
      <x:b/>
      <x:sz val="11"/>
      <x:color rgb="FF182433"/>
      <x:name val="Carlito"/>
    </x:font>
  </x:fonts>
  <x:fills count="8">
    <x:fill>
      <x:patternFill patternType="none"/>
    </x:fill>
    <x:fill>
      <x:patternFill patternType="gray125"/>
    </x:fill>
    <x:fill>
      <x:patternFill patternType="solid">
        <x:fgColor rgb="FF18324A"/>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EDEDED"/>
      </x:patternFill>
    </x:fill>
    <x:fill>
      <x:patternFill patternType="solid">
        <x:fgColor rgb="FFFFF9E6"/>
      </x:patternFill>
    </x:fill>
  </x:fills>
  <x:borders count="10">
    <x:border/>
    <x:border>
      <x:left style="thin">
        <x:color rgb="FFC7D0D9"/>
      </x:left>
      <x:right style="thin">
        <x:color rgb="FFC7D0D9"/>
      </x:right>
      <x:top style="thin">
        <x:color rgb="FFC7D0D9"/>
      </x:top>
      <x:bottom style="thin">
        <x:color rgb="FFC7D0D9"/>
      </x:bottom>
    </x:border>
    <x:border>
      <x:left style="thin">
        <x:color rgb="FFC7D0D9"/>
      </x:left>
      <x:top style="thin">
        <x:color rgb="FFC7D0D9"/>
      </x:top>
    </x:border>
    <x:border>
      <x:top style="thin">
        <x:color rgb="FFC7D0D9"/>
      </x:top>
    </x:border>
    <x:border>
      <x:right style="thin">
        <x:color rgb="FFC7D0D9"/>
      </x:right>
      <x:top style="thin">
        <x:color rgb="FFC7D0D9"/>
      </x:top>
    </x:border>
    <x:border>
      <x:left style="thin">
        <x:color rgb="FFC7D0D9"/>
      </x:left>
    </x:border>
    <x:border>
      <x:right style="thin">
        <x:color rgb="FFC7D0D9"/>
      </x:right>
    </x:border>
    <x:border>
      <x:left style="thin">
        <x:color rgb="FFC7D0D9"/>
      </x:left>
      <x:bottom style="thin">
        <x:color rgb="FFC7D0D9"/>
      </x:bottom>
    </x:border>
    <x:border>
      <x:bottom style="thin">
        <x:color rgb="FFC7D0D9"/>
      </x:bottom>
    </x:border>
    <x:border>
      <x:right style="thin">
        <x:color rgb="FFC7D0D9"/>
      </x:right>
      <x:bottom style="thin">
        <x:color rgb="FFC7D0D9"/>
      </x:bottom>
    </x:border>
  </x:borders>
  <x:cellStyleXfs count="1">
    <x:xf numFmtId="0" fontId="0" fillId="0" borderId="0"/>
  </x:cellStyleXfs>
  <x:cellXfs count="1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2" xfId="0" applyNumberFormat="1" applyFont="1" applyFill="1" applyBorder="1"/>
    <x:xf numFmtId="0" fontId="5" fillId="4" borderId="3" xfId="0" applyNumberFormat="1" applyFont="1" applyFill="1" applyBorder="1"/>
    <x:xf numFmtId="0" fontId="5" fillId="4" borderId="4" xfId="0" applyNumberFormat="1" applyFont="1" applyFill="1" applyBorder="1"/>
    <x:xf numFmtId="0" fontId="5" fillId="4" borderId="5"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2" xfId="0" applyNumberFormat="1" applyFont="1" applyFill="1" applyBorder="1" applyAlignment="1">
      <x:alignment wrapText="1"/>
    </x:xf>
    <x:xf numFmtId="0" fontId="5" fillId="4" borderId="3" xfId="0" applyNumberFormat="1" applyFont="1" applyFill="1" applyBorder="1" applyAlignment="1">
      <x:alignment wrapText="1"/>
    </x:xf>
    <x:xf numFmtId="0" fontId="5" fillId="4" borderId="4" xfId="0" applyNumberFormat="1" applyFont="1" applyFill="1" applyBorder="1" applyAlignment="1">
      <x:alignment wrapText="1"/>
    </x:xf>
    <x:xf numFmtId="0" fontId="5" fillId="4" borderId="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6" xfId="0" applyNumberFormat="1" applyFont="1" applyFill="1" applyBorder="1" applyAlignment="1">
      <x:alignment wrapText="1"/>
    </x:xf>
    <x:xf numFmtId="0" fontId="5" fillId="4" borderId="7" xfId="0" applyNumberFormat="1" applyFont="1" applyFill="1" applyBorder="1" applyAlignment="1">
      <x:alignment wrapText="1"/>
    </x:xf>
    <x:xf numFmtId="0" fontId="5" fillId="4" borderId="8" xfId="0" applyNumberFormat="1" applyFont="1" applyFill="1" applyBorder="1" applyAlignment="1">
      <x:alignment wrapText="1"/>
    </x:xf>
    <x:xf numFmtId="0" fontId="5" fillId="4" borderId="9" xfId="0" applyNumberFormat="1" applyFont="1" applyFill="1" applyBorder="1" applyAlignment="1">
      <x:alignment wrapText="1"/>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6" xfId="0" applyNumberFormat="1" applyFont="1" applyFill="1" applyBorder="1" applyAlignment="1">
      <x:alignment vertical="center" wrapText="1"/>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5" borderId="1" xfId="0" applyNumberFormat="1" applyFont="1" applyFill="1" applyBorder="1" applyAlignment="1">
      <x:alignment vertical="center" wrapText="1"/>
    </x:xf>
    <x:xf numFmtId="200" fontId="4" fillId="5" borderId="1" xfId="0" applyNumberFormat="1" applyFont="1" applyFill="1" applyBorder="1" applyAlignment="1">
      <x:alignment horizontal="center" vertical="center" wrapText="1"/>
    </x:xf>
    <x:xf numFmtId="200" fontId="4" fillId="3" borderId="1" xfId="0" applyNumberFormat="1" applyFont="1" applyFill="1" applyBorder="1" applyAlignment="1">
      <x:alignment vertical="center" wrapText="1"/>
    </x:xf>
    <x:xf numFmtId="200" fontId="4" fillId="3" borderId="1" xfId="0" applyNumberFormat="1" applyFont="1" applyFill="1" applyBorder="1" applyAlignment="1">
      <x:alignment horizontal="center"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center" vertical="center" wrapText="1"/>
    </x:xf>
    <x:xf numFmtId="200" fontId="4" fillId="6" borderId="1" xfId="0" applyNumberFormat="1" applyFont="1" applyFill="1" applyBorder="1" applyAlignment="1">
      <x:alignment vertical="center" wrapText="1"/>
    </x:xf>
    <x:xf numFmtId="200" fontId="4" fillId="6" borderId="1" xfId="0" applyNumberFormat="1" applyFont="1" applyFill="1" applyBorder="1" applyAlignment="1">
      <x:alignment horizontal="center" vertical="center" wrapText="1"/>
    </x:xf>
    <x:xf numFmtId="0" fontId="4" fillId="3" borderId="0"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2"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0" fontId="4" fillId="3" borderId="7" xfId="0" applyNumberFormat="1" applyFont="1" applyFill="1" applyBorder="1" applyAlignment="1">
      <x:alignment vertical="center" wrapText="1"/>
    </x:xf>
    <x:xf numFmtId="0" fontId="4" fillId="3" borderId="8" xfId="0" applyNumberFormat="1" applyFont="1" applyFill="1" applyBorder="1" applyAlignment="1">
      <x:alignment vertical="center" wrapText="1"/>
    </x:xf>
    <x:xf numFmtId="0" fontId="4" fillId="3" borderId="9"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7" fillId="3" borderId="0" xfId="0" applyNumberFormat="1" applyFont="1" applyFill="1" applyBorder="1" applyAlignment="1">
      <x:alignment wrapText="1"/>
    </x:xf>
    <x:xf numFmtId="0" fontId="8" fillId="0" borderId="0" xfId="0" applyNumberFormat="1" applyFont="1" applyFill="1" applyBorder="1"/>
    <x:xf numFmtId="0" fontId="9" fillId="2" borderId="1" xfId="0" applyNumberFormat="1" applyFont="1" applyFill="1" applyBorder="1" applyAlignment="1">
      <x:alignment horizontal="center" vertical="center" wrapText="1"/>
    </x:xf>
    <x:xf numFmtId="0" fontId="10" fillId="0" borderId="1" xfId="0" applyNumberFormat="1" applyFont="1" applyFill="1" applyBorder="1" applyAlignment="1">
      <x:alignment vertical="center" wrapText="1"/>
    </x:xf>
    <x:xf numFmtId="0" fontId="11" fillId="4" borderId="2" xfId="0" applyNumberFormat="1" applyFont="1" applyFill="1" applyBorder="1" applyAlignment="1">
      <x:alignment vertical="center" wrapText="1"/>
    </x:xf>
    <x:xf numFmtId="0" fontId="11" fillId="4" borderId="3" xfId="0" applyNumberFormat="1" applyFont="1" applyFill="1" applyBorder="1" applyAlignment="1">
      <x:alignment vertical="center" wrapText="1"/>
    </x:xf>
    <x:xf numFmtId="0" fontId="11" fillId="4" borderId="4" xfId="0" applyNumberFormat="1" applyFont="1" applyFill="1" applyBorder="1" applyAlignment="1">
      <x:alignment vertical="center" wrapText="1"/>
    </x:xf>
    <x:xf numFmtId="0" fontId="11" fillId="4" borderId="5" xfId="0" applyNumberFormat="1" applyFont="1" applyFill="1" applyBorder="1" applyAlignment="1">
      <x:alignment vertical="center" wrapText="1"/>
    </x:xf>
    <x:xf numFmtId="0" fontId="11" fillId="4" borderId="0" xfId="0" applyNumberFormat="1" applyFont="1" applyFill="1" applyBorder="1" applyAlignment="1">
      <x:alignment vertical="center" wrapText="1"/>
    </x:xf>
    <x:xf numFmtId="0" fontId="11" fillId="4" borderId="6" xfId="0" applyNumberFormat="1" applyFont="1" applyFill="1" applyBorder="1" applyAlignment="1">
      <x:alignment vertical="center" wrapText="1"/>
    </x:xf>
    <x:xf numFmtId="0" fontId="11" fillId="4" borderId="7" xfId="0" applyNumberFormat="1" applyFont="1" applyFill="1" applyBorder="1" applyAlignment="1">
      <x:alignment vertical="center" wrapText="1"/>
    </x:xf>
    <x:xf numFmtId="0" fontId="11" fillId="4" borderId="8" xfId="0" applyNumberFormat="1" applyFont="1" applyFill="1" applyBorder="1" applyAlignment="1">
      <x:alignment vertical="center" wrapText="1"/>
    </x:xf>
    <x:xf numFmtId="0" fontId="11" fillId="4" borderId="9" xfId="0" applyNumberFormat="1" applyFont="1" applyFill="1" applyBorder="1" applyAlignment="1">
      <x:alignment vertical="center" wrapText="1"/>
    </x:xf>
    <x:xf numFmtId="200" fontId="10" fillId="5" borderId="1" xfId="0" applyNumberFormat="1" applyFont="1" applyFill="1" applyBorder="1" applyAlignment="1">
      <x:alignment horizontal="center" vertical="center" wrapText="1"/>
    </x:xf>
    <x:xf numFmtId="200" fontId="10" fillId="3" borderId="1" xfId="0" applyNumberFormat="1" applyFont="1" applyFill="1" applyBorder="1" applyAlignment="1">
      <x:alignment horizontal="center" vertical="center" wrapText="1"/>
    </x:xf>
    <x:xf numFmtId="200" fontId="10" fillId="4" borderId="1" xfId="0" applyNumberFormat="1" applyFont="1" applyFill="1" applyBorder="1" applyAlignment="1">
      <x:alignment horizontal="center" vertical="center" wrapText="1"/>
    </x:xf>
    <x:xf numFmtId="200" fontId="10" fillId="6" borderId="1" xfId="0" applyNumberFormat="1" applyFont="1" applyFill="1" applyBorder="1" applyAlignment="1">
      <x:alignment horizontal="center" vertical="center" wrapText="1"/>
    </x:xf>
    <x:xf numFmtId="0" fontId="10" fillId="3" borderId="2" xfId="0" applyNumberFormat="1" applyFont="1" applyFill="1" applyBorder="1" applyAlignment="1">
      <x:alignment vertical="center" wrapText="1"/>
    </x:xf>
    <x:xf numFmtId="0" fontId="10" fillId="3" borderId="3" xfId="0" applyNumberFormat="1" applyFont="1" applyFill="1" applyBorder="1" applyAlignment="1">
      <x:alignment vertical="center" wrapText="1"/>
    </x:xf>
    <x:xf numFmtId="0" fontId="10" fillId="3" borderId="4" xfId="0" applyNumberFormat="1" applyFont="1" applyFill="1" applyBorder="1" applyAlignment="1">
      <x:alignment vertical="center" wrapText="1"/>
    </x:xf>
    <x:xf numFmtId="0" fontId="10" fillId="3" borderId="5"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3" borderId="6" xfId="0" applyNumberFormat="1" applyFont="1" applyFill="1" applyBorder="1" applyAlignment="1">
      <x:alignment vertical="center" wrapText="1"/>
    </x:xf>
    <x:xf numFmtId="0" fontId="10" fillId="3" borderId="7" xfId="0" applyNumberFormat="1" applyFont="1" applyFill="1" applyBorder="1" applyAlignment="1">
      <x:alignment vertical="center" wrapText="1"/>
    </x:xf>
    <x:xf numFmtId="0" fontId="10" fillId="3" borderId="8" xfId="0" applyNumberFormat="1" applyFont="1" applyFill="1" applyBorder="1" applyAlignment="1">
      <x:alignment vertical="center" wrapText="1"/>
    </x:xf>
    <x:xf numFmtId="0" fontId="10" fillId="3" borderId="9" xfId="0" applyNumberFormat="1" applyFont="1" applyFill="1" applyBorder="1" applyAlignment="1">
      <x:alignment vertical="center" wrapText="1"/>
    </x:xf>
    <x:xf numFmtId="0" fontId="12" fillId="4"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201" fontId="5" fillId="7"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2" fontId="4" fillId="0" borderId="1" xfId="0" applyNumberFormat="1" applyFont="1" applyFill="1" applyBorder="1" applyAlignment="1">
      <x:alignment vertical="center" wrapText="1"/>
    </x:xf>
    <x:xf numFmtId="201" fontId="4" fillId="0" borderId="1" xfId="0" applyNumberFormat="1" applyFont="1" applyFill="1" applyBorder="1" applyAlignment="1">
      <x:alignment vertical="center" wrapText="1"/>
    </x:xf>
    <x:xf numFmtId="203" fontId="4" fillId="0" borderId="1" xfId="0" applyNumberFormat="1" applyFont="1" applyFill="1" applyBorder="1" applyAlignment="1">
      <x:alignment vertical="center" wrapText="1"/>
    </x:xf>
    <x:xf numFmtId="204" fontId="4"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9f54d2e99241d5" /><Relationship Type="http://schemas.openxmlformats.org/officeDocument/2006/relationships/theme" Target="/xl/theme/theme1.xml" Id="R2ee56c70242a49a5" /><Relationship Type="http://schemas.microsoft.com/office/2022/11/relationships/FeaturePropertyBag" Target="/xl/featurePropertyBag/featurePropertyBag.xml" Id="Ra69b306941a2433d" /><Relationship Type="http://schemas.openxmlformats.org/officeDocument/2006/relationships/sharedStrings" Target="/xl/sharedStrings.xml" Id="Rf47c6be0bad94a0e" /><Relationship Type="http://schemas.openxmlformats.org/officeDocument/2006/relationships/worksheet" Target="/xl/worksheets/sheet1.xml" Id="Rffa113a159514cbc" /><Relationship Type="http://schemas.openxmlformats.org/officeDocument/2006/relationships/worksheet" Target="/xl/worksheets/sheet2.xml" Id="R7b853b9c51fa4413" /><Relationship Type="http://schemas.openxmlformats.org/officeDocument/2006/relationships/worksheet" Target="/xl/worksheets/sheet3.xml" Id="R1b1f9cfdffd040ba" /><Relationship Type="http://schemas.openxmlformats.org/officeDocument/2006/relationships/worksheet" Target="/xl/worksheets/sheet4.xml" Id="R1b9396fcd2614eab" /><Relationship Type="http://schemas.openxmlformats.org/officeDocument/2006/relationships/worksheet" Target="/xl/worksheets/sheet5.xml" Id="R67af48c4818c47f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d8c2bc2a3914f7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 order is unchanged as λ increases</a:t>
            </a:r>
          </a:p>
        </c:rich>
      </c:tx>
      <c:overlay val="0"/>
    </c:title>
    <c:plotArea>
      <c:lineChart>
        <c:grouping val="standard"/>
        <c:varyColors val="0"/>
        <c:ser>
          <c:idx val="0"/>
          <c:order val="0"/>
          <c:tx>
            <c:v>GPT-4.1-mini</c:v>
          </c:tx>
          <c:marker>
            <c:symbol val="none"/>
          </c:marker>
          <c:cat>
            <c:strRef>
              <c:f>'Penalty Sensitivity'!$J$5:$J$10</c:f>
              <c:strCache>
                <c:ptCount val="0"/>
              </c:strCache>
            </c:strRef>
          </c:cat>
          <c:val>
            <c:numRef>
              <c:f>'Penalty Sensitivity'!$K$5:$K$10</c:f>
              <c:numCache>
                <c:formatCode>0.000</c:formatCode>
                <c:ptCount val="0"/>
              </c:numCache>
            </c:numRef>
          </c:val>
          <c:smooth val="0"/>
        </c:ser>
        <c:ser>
          <c:idx val="1"/>
          <c:order val="1"/>
          <c:tx>
            <c:v>Qwen2.5-7B</c:v>
          </c:tx>
          <c:marker>
            <c:symbol val="none"/>
          </c:marker>
          <c:cat>
            <c:strRef>
              <c:f>'Penalty Sensitivity'!$J$5:$J$10</c:f>
              <c:strCache>
                <c:ptCount val="0"/>
              </c:strCache>
            </c:strRef>
          </c:cat>
          <c:val>
            <c:numRef>
              <c:f>'Penalty Sensitivity'!$L$5:$L$10</c:f>
              <c:numCache>
                <c:formatCode>0.000</c:formatCode>
                <c:ptCount val="0"/>
              </c:numCache>
            </c:numRef>
          </c:val>
          <c:smooth val="0"/>
        </c:ser>
        <c:ser>
          <c:idx val="2"/>
          <c:order val="2"/>
          <c:tx>
            <c:v>Claude Haiku 4.5</c:v>
          </c:tx>
          <c:marker>
            <c:symbol val="none"/>
          </c:marker>
          <c:cat>
            <c:strRef>
              <c:f>'Penalty Sensitivity'!$J$5:$J$10</c:f>
              <c:strCache>
                <c:ptCount val="0"/>
              </c:strCache>
            </c:strRef>
          </c:cat>
          <c:val>
            <c:numRef>
              <c:f>'Penalty Sensitivity'!$M$5:$M$10</c:f>
              <c:numCache>
                <c:formatCode>0.000</c:formatCode>
                <c:ptCount val="0"/>
              </c:numCache>
            </c:numRef>
          </c:val>
          <c:smooth val="0"/>
        </c:ser>
        <c:ser>
          <c:idx val="3"/>
          <c:order val="3"/>
          <c:tx>
            <c:v>Llama 3.1-8B</c:v>
          </c:tx>
          <c:marker>
            <c:symbol val="none"/>
          </c:marker>
          <c:cat>
            <c:strRef>
              <c:f>'Penalty Sensitivity'!$J$5:$J$10</c:f>
              <c:strCache>
                <c:ptCount val="0"/>
              </c:strCache>
            </c:strRef>
          </c:cat>
          <c:val>
            <c:numRef>
              <c:f>'Penalty Sensitivity'!$N$5:$N$10</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0.95"/>
          <c:min val="0.55"/>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11</xdr:row>
      <xdr:rowOff>0</xdr:rowOff>
    </xdr:from>
    <xdr:to>
      <xdr:col>17</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8c2bc2a3914f7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17064369d5ba416b"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18" hidden="0" customWidth="1"/>
    <x:col min="4" max="4" width="23" hidden="0" customWidth="1"/>
    <x:col min="5" max="5" width="23" hidden="0" customWidth="1"/>
    <x:col min="6" max="6" width="23" hidden="0" customWidth="1"/>
  </x:cols>
  <x:sheetData>
    <x:row r="1" ht="21.600000381469727" hidden="0" customHeight="1">
      <x:c r="A1" s="80" t="str">
        <x:v>SALRM robustness analysis</x:v>
      </x:c>
      <x:c r="B1" s="80" t="str">
        <x:v>SALRM robustness analysis</x:v>
      </x:c>
      <x:c r="C1" s="80" t="str">
        <x:v>SALRM robustness analysis</x:v>
      </x:c>
      <x:c r="D1" s="80" t="str">
        <x:v>SALRM robustness analysis</x:v>
      </x:c>
      <x:c r="E1" s="80" t="str">
        <x:v>SALRM robustness analysis</x:v>
      </x:c>
      <x:c r="F1" s="80" t="str">
        <x:v>SALRM robustness analysis</x:v>
      </x:c>
    </x:row>
    <x:row r="2" ht="15" hidden="0" customHeight="1">
      <x:c r="A2" s="81" t="str">
        <x:v>Leave-one-benchmark-out refits and sensitivity-penalty analysis | Full experiment | No new API generation</x:v>
      </x:c>
      <x:c r="B2" s="81" t="str">
        <x:v>Leave-one-benchmark-out refits and sensitivity-penalty analysis | Full experiment | No new API generation</x:v>
      </x:c>
      <x:c r="C2" s="81" t="str">
        <x:v>Leave-one-benchmark-out refits and sensitivity-penalty analysis | Full experiment | No new API generation</x:v>
      </x:c>
      <x:c r="D2" s="81" t="str">
        <x:v>Leave-one-benchmark-out refits and sensitivity-penalty analysis | Full experiment | No new API generation</x:v>
      </x:c>
      <x:c r="E2" s="81" t="str">
        <x:v>Leave-one-benchmark-out refits and sensitivity-penalty analysis | Full experiment | No new API generation</x:v>
      </x:c>
      <x:c r="F2" s="81" t="str">
        <x:v>Leave-one-benchmark-out refits and sensitivity-penalty analysis | Full experiment | No new API generation</x:v>
      </x:c>
    </x:row>
    <x:row r="3" ht="15" hidden="0" customHeight="1">
      <x:c r="A3" s="82"/>
      <x:c r="B3" s="82"/>
      <x:c r="C3" s="82"/>
      <x:c r="D3" s="82"/>
      <x:c r="E3" s="82"/>
      <x:c r="F3" s="82"/>
    </x:row>
    <x:row r="4" ht="15" hidden="0" customHeight="1">
      <x:c r="A4" s="83" t="str">
        <x:v>Robustness indicator</x:v>
      </x:c>
      <x:c r="B4" s="83" t="str">
        <x:v>Result</x:v>
      </x:c>
      <x:c r="C4" s="82"/>
      <x:c r="D4" s="83" t="str">
        <x:v>Main conclusion</x:v>
      </x:c>
      <x:c r="E4" s="83" t="str">
        <x:v>Main conclusion</x:v>
      </x:c>
      <x:c r="F4" s="83" t="str">
        <x:v>Main conclusion</x:v>
      </x:c>
    </x:row>
    <x:row r="5" ht="15" hidden="0" customHeight="1">
      <x:c r="A5" s="84" t="str">
        <x:v>GPT rank 1 under LOBO</x:v>
      </x:c>
      <x:c r="B5" s="84" t="str">
        <x:v>5/5 exclusions</x:v>
      </x:c>
      <x:c r="C5" s="82"/>
      <x:c r="D5" s="85"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E5" s="86"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F5" s="87"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row>
    <x:row r="6" ht="15" hidden="0" customHeight="1">
      <x:c r="A6" s="84" t="str">
        <x:v>Complete four-model order retained</x:v>
      </x:c>
      <x:c r="B6" s="84" t="str">
        <x:v>3/5 exclusions</x:v>
      </x:c>
      <x:c r="C6" s="82"/>
      <x:c r="D6" s="88"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E6" s="89"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F6" s="90"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row>
    <x:row r="7" ht="15" hidden="0" customHeight="1">
      <x:c r="A7" s="84" t="str">
        <x:v>Penalty order retained (λ=0–2)</x:v>
      </x:c>
      <x:c r="B7" s="84" t="str">
        <x:v>6/6 tested values</x:v>
      </x:c>
      <x:c r="C7" s="82"/>
      <x:c r="D7" s="88"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E7" s="89"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F7" s="90"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row>
    <x:row r="8" ht="15" hidden="0" customHeight="1">
      <x:c r="A8" s="84" t="str">
        <x:v>Positive-λ analytical crossover</x:v>
      </x:c>
      <x:c r="B8" s="84" t="str">
        <x:v>None</x:v>
      </x:c>
      <x:c r="C8" s="82"/>
      <x:c r="D8" s="91"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E8" s="92"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c r="F8" s="93" t="str">
        <x:v>The first-place GPT result is robust to removing any one benchmark. The full order changes when RTP is removed (Claude overtakes Qwen) and when BBQ is removed (Llama overtakes Claude). Penalty scaling does not alter the order because higher-baseline models also have lower condition sensitivity.</x:v>
      </x:c>
    </x:row>
    <x:row r="9" ht="15" hidden="0" customHeight="1">
      <x:c r="A9" s="82"/>
      <x:c r="B9" s="82"/>
      <x:c r="C9" s="82"/>
      <x:c r="D9" s="82"/>
      <x:c r="E9" s="82"/>
      <x:c r="F9" s="82"/>
    </x:row>
    <x:row r="10" ht="15" hidden="0" customHeight="1">
      <x:c r="A10" s="82"/>
      <x:c r="B10" s="82"/>
      <x:c r="C10" s="82"/>
      <x:c r="D10" s="82"/>
      <x:c r="E10" s="82"/>
      <x:c r="F10" s="82"/>
    </x:row>
    <x:row r="11" ht="15" hidden="0" customHeight="1">
      <x:c r="A11" s="83" t="str">
        <x:v>Scenario</x:v>
      </x:c>
      <x:c r="B11" s="83" t="str">
        <x:v>GPT-4.1-mini</x:v>
      </x:c>
      <x:c r="C11" s="83" t="str">
        <x:v>Qwen2.5-7B</x:v>
      </x:c>
      <x:c r="D11" s="83" t="str">
        <x:v>Claude Haiku 4.5</x:v>
      </x:c>
      <x:c r="E11" s="83" t="str">
        <x:v>Llama 3.1-8B</x:v>
      </x:c>
      <x:c r="F11" s="82"/>
    </x:row>
    <x:row r="12" ht="15" hidden="0" customHeight="1">
      <x:c r="A12" s="84" t="str">
        <x:v>All benchmarks</x:v>
      </x:c>
      <x:c r="B12" s="94" t="n">
        <x:v>1</x:v>
      </x:c>
      <x:c r="C12" s="95" t="n">
        <x:v>2</x:v>
      </x:c>
      <x:c r="D12" s="96" t="n">
        <x:v>3</x:v>
      </x:c>
      <x:c r="E12" s="97" t="n">
        <x:v>4</x:v>
      </x:c>
      <x:c r="F12" s="82"/>
    </x:row>
    <x:row r="13" ht="15" hidden="0" customHeight="1">
      <x:c r="A13" s="84" t="str">
        <x:v>Exclude BBQ</x:v>
      </x:c>
      <x:c r="B13" s="94" t="n">
        <x:v>1</x:v>
      </x:c>
      <x:c r="C13" s="95" t="n">
        <x:v>2</x:v>
      </x:c>
      <x:c r="D13" s="97" t="n">
        <x:v>4</x:v>
      </x:c>
      <x:c r="E13" s="96" t="n">
        <x:v>3</x:v>
      </x:c>
      <x:c r="F13" s="82"/>
    </x:row>
    <x:row r="14" ht="15" hidden="0" customHeight="1">
      <x:c r="A14" s="84" t="str">
        <x:v>Exclude StereoSet</x:v>
      </x:c>
      <x:c r="B14" s="94" t="n">
        <x:v>1</x:v>
      </x:c>
      <x:c r="C14" s="95" t="n">
        <x:v>2</x:v>
      </x:c>
      <x:c r="D14" s="96" t="n">
        <x:v>3</x:v>
      </x:c>
      <x:c r="E14" s="97" t="n">
        <x:v>4</x:v>
      </x:c>
      <x:c r="F14" s="82"/>
    </x:row>
    <x:row r="15" ht="15" hidden="0" customHeight="1">
      <x:c r="A15" s="84" t="str">
        <x:v>Exclude AdvGLUE</x:v>
      </x:c>
      <x:c r="B15" s="94" t="n">
        <x:v>1</x:v>
      </x:c>
      <x:c r="C15" s="95" t="n">
        <x:v>2</x:v>
      </x:c>
      <x:c r="D15" s="96" t="n">
        <x:v>3</x:v>
      </x:c>
      <x:c r="E15" s="97" t="n">
        <x:v>4</x:v>
      </x:c>
      <x:c r="F15" s="82"/>
    </x:row>
    <x:row r="16" ht="15" hidden="0" customHeight="1">
      <x:c r="A16" s="84" t="str">
        <x:v>Exclude BOLD</x:v>
      </x:c>
      <x:c r="B16" s="94" t="n">
        <x:v>1</x:v>
      </x:c>
      <x:c r="C16" s="95" t="n">
        <x:v>2</x:v>
      </x:c>
      <x:c r="D16" s="96" t="n">
        <x:v>3</x:v>
      </x:c>
      <x:c r="E16" s="97" t="n">
        <x:v>4</x:v>
      </x:c>
      <x:c r="F16" s="82"/>
    </x:row>
    <x:row r="17" ht="15" hidden="0" customHeight="1">
      <x:c r="A17" s="84" t="str">
        <x:v>Exclude RTP</x:v>
      </x:c>
      <x:c r="B17" s="94" t="n">
        <x:v>1</x:v>
      </x:c>
      <x:c r="C17" s="96" t="n">
        <x:v>3</x:v>
      </x:c>
      <x:c r="D17" s="95" t="n">
        <x:v>2</x:v>
      </x:c>
      <x:c r="E17" s="97" t="n">
        <x:v>4</x:v>
      </x:c>
      <x:c r="F17" s="82"/>
    </x:row>
    <x:row r="18" ht="15" hidden="0" customHeight="1">
      <x:c r="A18" s="82"/>
      <x:c r="B18" s="82"/>
      <x:c r="C18" s="82"/>
      <x:c r="D18" s="82"/>
      <x:c r="E18" s="82"/>
      <x:c r="F18" s="82"/>
    </x:row>
    <x:row r="19" ht="15" hidden="0" customHeight="1">
      <x:c r="A19" s="83" t="str">
        <x:v>Interpretation boundary</x:v>
      </x:c>
      <x:c r="B19" s="83" t="str">
        <x:v>Interpretation boundary</x:v>
      </x:c>
      <x:c r="C19" s="83" t="str">
        <x:v>Interpretation boundary</x:v>
      </x:c>
      <x:c r="D19" s="83" t="str">
        <x:v>Interpretation boundary</x:v>
      </x:c>
      <x:c r="E19" s="83" t="str">
        <x:v>Interpretation boundary</x:v>
      </x:c>
      <x:c r="F19" s="83" t="str">
        <x:v>Interpretation boundary</x:v>
      </x:c>
    </x:row>
    <x:row r="20">
      <x:c r="A20" s="98"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B20" s="99"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C20" s="99"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D20" s="99"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E20" s="99"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F20" s="100"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row>
    <x:row r="21">
      <x:c r="A21" s="101"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B21" s="102"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C21" s="102"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D21" s="102"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E21" s="102"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F21" s="103"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row>
    <x:row r="22">
      <x:c r="A22" s="104"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B22" s="105"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C22" s="105"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D22" s="105"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E22" s="105"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c r="F22" s="106" t="str">
        <x:v>LOBO score levels represent different four-benchmark constructs and should not be interpreted as direct absolute improvements over the five-benchmark score. The confirmatory robustness question is whether model ordering and condition-effect direction remain stable. LOBO used the same Rasch-type random-item-intercept specification with quadrature-MAP estimation; its full-data refit differs from the final VB estimates by at most 0.00232 in baseline reliability and 0.00027 in condition effect.</x:v>
      </x:c>
    </x:row>
  </x:sheetData>
  <x:mergeCells>
    <x:mergeCell ref="A1:F1"/>
    <x:mergeCell ref="A2:F2"/>
    <x:mergeCell ref="D4:F4"/>
    <x:mergeCell ref="D5:F8"/>
    <x:mergeCell ref="A19:F19"/>
    <x:mergeCell ref="A20:F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20" hidden="0" customWidth="1"/>
    <x:col min="4" max="4" width="12" hidden="0" customWidth="1"/>
    <x:col min="5" max="5" width="12" hidden="0" customWidth="1"/>
    <x:col min="6" max="6" width="14" hidden="0" customWidth="1"/>
    <x:col min="7" max="7" width="12" hidden="0" customWidth="1"/>
    <x:col min="8" max="8" width="16" hidden="0" customWidth="1"/>
    <x:col min="9" max="9" width="9" hidden="0" customWidth="1"/>
    <x:col min="10" max="10" width="9" hidden="0" customWidth="1"/>
    <x:col min="11" max="11" width="11" hidden="0" customWidth="1"/>
    <x:col min="12" max="12" width="11" hidden="0" customWidth="1"/>
    <x:col min="13" max="13" width="11" hidden="0" customWidth="1"/>
    <x:col min="14" max="14" width="12" hidden="0" customWidth="1"/>
    <x:col min="15" max="15" width="45" hidden="0" customWidth="1"/>
  </x:cols>
  <x:sheetData>
    <x:row r="1" ht="21.600000381469727" hidden="0" customHeight="1">
      <x:c r="A1" s="80" t="str">
        <x:v>Leave-one-benchmark-out results</x:v>
      </x:c>
      <x:c r="B1" s="80" t="str">
        <x:v>Leave-one-benchmark-out results</x:v>
      </x:c>
      <x:c r="C1" s="80" t="str">
        <x:v>Leave-one-benchmark-out results</x:v>
      </x:c>
      <x:c r="D1" s="80" t="str">
        <x:v>Leave-one-benchmark-out results</x:v>
      </x:c>
      <x:c r="E1" s="80" t="str">
        <x:v>Leave-one-benchmark-out results</x:v>
      </x:c>
      <x:c r="F1" s="80" t="str">
        <x:v>Leave-one-benchmark-out results</x:v>
      </x:c>
      <x:c r="G1" s="80" t="str">
        <x:v>Leave-one-benchmark-out results</x:v>
      </x:c>
      <x:c r="H1" s="80" t="str">
        <x:v>Leave-one-benchmark-out results</x:v>
      </x:c>
      <x:c r="I1" s="80" t="str">
        <x:v>Leave-one-benchmark-out results</x:v>
      </x:c>
      <x:c r="J1" s="80" t="str">
        <x:v>Leave-one-benchmark-out results</x:v>
      </x:c>
      <x:c r="K1" s="80" t="str">
        <x:v>Leave-one-benchmark-out results</x:v>
      </x:c>
      <x:c r="L1" s="80" t="str">
        <x:v>Leave-one-benchmark-out results</x:v>
      </x:c>
      <x:c r="M1" s="80" t="str">
        <x:v>Leave-one-benchmark-out results</x:v>
      </x:c>
      <x:c r="N1" s="80" t="str">
        <x:v>Leave-one-benchmark-out results</x:v>
      </x:c>
      <x:c r="O1" s="80" t="str">
        <x:v>Leave-one-benchmark-out results</x:v>
      </x:c>
    </x:row>
    <x:row r="2" ht="15" hidden="0" customHeight="1">
      <x:c r="A2" s="6" t="str">
        <x:v>Same fixed specification: model × condition + benchmark; random item intercept; λ=1 for adjusted reliability</x:v>
      </x:c>
      <x:c r="B2" s="6" t="str">
        <x:v>Same fixed specification: model × condition + benchmark; random item intercept; λ=1 for adjusted reliability</x:v>
      </x:c>
      <x:c r="C2" s="6" t="str">
        <x:v>Same fixed specification: model × condition + benchmark; random item intercept; λ=1 for adjusted reliability</x:v>
      </x:c>
      <x:c r="D2" s="6" t="str">
        <x:v>Same fixed specification: model × condition + benchmark; random item intercept; λ=1 for adjusted reliability</x:v>
      </x:c>
      <x:c r="E2" s="6" t="str">
        <x:v>Same fixed specification: model × condition + benchmark; random item intercept; λ=1 for adjusted reliability</x:v>
      </x:c>
      <x:c r="F2" s="6" t="str">
        <x:v>Same fixed specification: model × condition + benchmark; random item intercept; λ=1 for adjusted reliability</x:v>
      </x:c>
      <x:c r="G2" s="6" t="str">
        <x:v>Same fixed specification: model × condition + benchmark; random item intercept; λ=1 for adjusted reliability</x:v>
      </x:c>
      <x:c r="H2" s="6" t="str">
        <x:v>Same fixed specification: model × condition + benchmark; random item intercept; λ=1 for adjusted reliability</x:v>
      </x:c>
      <x:c r="I2" s="6" t="str">
        <x:v>Same fixed specification: model × condition + benchmark; random item intercept; λ=1 for adjusted reliability</x:v>
      </x:c>
      <x:c r="J2" s="6" t="str">
        <x:v>Same fixed specification: model × condition + benchmark; random item intercept; λ=1 for adjusted reliability</x:v>
      </x:c>
      <x:c r="K2" s="6" t="str">
        <x:v>Same fixed specification: model × condition + benchmark; random item intercept; λ=1 for adjusted reliability</x:v>
      </x:c>
      <x:c r="L2" s="6" t="str">
        <x:v>Same fixed specification: model × condition + benchmark; random item intercept; λ=1 for adjusted reliability</x:v>
      </x:c>
      <x:c r="M2" s="6" t="str">
        <x:v>Same fixed specification: model × condition + benchmark; random item intercept; λ=1 for adjusted reliability</x:v>
      </x:c>
      <x:c r="N2" s="6" t="str">
        <x:v>Same fixed specification: model × condition + benchmark; random item intercept; λ=1 for adjusted reliability</x:v>
      </x:c>
      <x:c r="O2" s="6" t="str">
        <x:v>Same fixed specification: model × condition + benchmark; random item intercept; λ=1 for adjusted reliability</x:v>
      </x:c>
    </x:row>
    <x:row r="3" ht="15" hidden="0" customHeight="1">
      <x:c r="A3" s="107" t="str">
        <x:v>Penalty λ</x:v>
      </x:c>
      <x:c r="B3" s="110" t="n">
        <x:v>1</x:v>
      </x:c>
    </x:row>
    <x:row r="4"/>
    <x:row r="5" ht="26.399999618530273" hidden="0" customHeight="1">
      <x:c r="A5" s="11" t="str">
        <x:v>Scenario</x:v>
      </x:c>
      <x:c r="B5" s="11" t="str">
        <x:v>Excluded benchmark</x:v>
      </x:c>
      <x:c r="C5" s="11" t="str">
        <x:v>Model</x:v>
      </x:c>
      <x:c r="D5" s="11" t="str">
        <x:v>Baseline</x:v>
      </x:c>
      <x:c r="E5" s="11" t="str">
        <x:v>Safety</x:v>
      </x:c>
      <x:c r="F5" s="11" t="str">
        <x:v>Condition effect</x:v>
      </x:c>
      <x:c r="G5" s="11" t="str">
        <x:v>Sensitivity</x:v>
      </x:c>
      <x:c r="H5" s="11" t="str">
        <x:v>Adjusted reliability</x:v>
      </x:c>
      <x:c r="I5" s="11" t="str">
        <x:v>Rank</x:v>
      </x:c>
      <x:c r="J5" s="11" t="str">
        <x:v>Full rank</x:v>
      </x:c>
      <x:c r="K5" s="11" t="str">
        <x:v>Rank change</x:v>
      </x:c>
      <x:c r="L5" s="11" t="str">
        <x:v>Item SD</x:v>
      </x:c>
      <x:c r="M5" s="11" t="str">
        <x:v>Converged</x:v>
      </x:c>
      <x:c r="N5" s="11" t="str">
        <x:v>Unique items</x:v>
      </x:c>
      <x:c r="O5" s="11" t="str">
        <x:v>Included benchmarks</x:v>
      </x:c>
    </x:row>
    <x:row r="6" ht="15" hidden="0" customHeight="1">
      <x:c r="A6" s="15" t="str">
        <x:v>All benchmarks</x:v>
      </x:c>
      <x:c r="B6" s="15" t="str">
        <x:v>None</x:v>
      </x:c>
      <x:c r="C6" s="15" t="str">
        <x:v>GPT-4.1-mini</x:v>
      </x:c>
      <x:c r="D6" s="116" t="n">
        <x:v>0.903126813340249</x:v>
      </x:c>
      <x:c r="E6" s="116" t="n">
        <x:v>0.9149338010274439</x:v>
      </x:c>
      <x:c r="F6" s="116" t="n">
        <x:v>0.011806987687194903</x:v>
      </x:c>
      <x:c r="G6" s="116" t="n">
        <x:v>0.011806987687194903</x:v>
      </x:c>
      <x:c r="H6" s="116" t="n">
        <x:f>D6*EXP(-$B$3*G6)</x:f>
        <x:v>0.8925263093319327</x:v>
      </x:c>
      <x:c r="I6" s="44" t="n">
        <x:f>1+COUNTIFS($A$6:$A$29,A6,$H$6:$H$29,"&gt;"&amp;H6)</x:f>
        <x:v>1</x:v>
      </x:c>
      <x:c r="J6" s="44" t="n">
        <x:v>1</x:v>
      </x:c>
      <x:c r="K6" s="44" t="n">
        <x:f>I6-J6</x:f>
        <x:v>0</x:v>
      </x:c>
      <x:c r="L6" s="116" t="n">
        <x:v>2.2095138362201783</x:v>
      </x:c>
      <x:c r="M6" s="115" t="b">
        <x:v>1</x:v>
      </x:c>
      <x:c r="N6" s="15" t="n">
        <x:v>7738</x:v>
      </x:c>
      <x:c r="O6" s="15" t="str">
        <x:v>AdvGLUE, BBQ, BOLD, RTP, StereoSet</x:v>
      </x:c>
    </x:row>
    <x:row r="7" ht="15" hidden="0" customHeight="1">
      <x:c r="A7" s="15" t="str">
        <x:v>All benchmarks</x:v>
      </x:c>
      <x:c r="B7" s="15" t="str">
        <x:v>None</x:v>
      </x:c>
      <x:c r="C7" s="15" t="str">
        <x:v>Qwen2.5-7B</x:v>
      </x:c>
      <x:c r="D7" s="116" t="n">
        <x:v>0.8171848795257707</x:v>
      </x:c>
      <x:c r="E7" s="116" t="n">
        <x:v>0.8363647326704614</x:v>
      </x:c>
      <x:c r="F7" s="116" t="n">
        <x:v>0.01917985314469073</x:v>
      </x:c>
      <x:c r="G7" s="116" t="n">
        <x:v>0.01917985314469073</x:v>
      </x:c>
      <x:c r="H7" s="116" t="n">
        <x:f>D7*EXP(-$B$3*G7)</x:f>
        <x:v>0.8016607447551416</x:v>
      </x:c>
      <x:c r="I7" s="44" t="n">
        <x:f>1+COUNTIFS($A$6:$A$29,A7,$H$6:$H$29,"&gt;"&amp;H7)</x:f>
        <x:v>2</x:v>
      </x:c>
      <x:c r="J7" s="44" t="n">
        <x:v>2</x:v>
      </x:c>
      <x:c r="K7" s="44" t="n">
        <x:f>I7-J7</x:f>
        <x:v>0</x:v>
      </x:c>
      <x:c r="L7" s="116" t="n">
        <x:v>2.2095138362201783</x:v>
      </x:c>
      <x:c r="M7" s="115" t="b">
        <x:v>1</x:v>
      </x:c>
      <x:c r="N7" s="15" t="n">
        <x:v>7738</x:v>
      </x:c>
      <x:c r="O7" s="15" t="str">
        <x:v>AdvGLUE, BBQ, BOLD, RTP, StereoSet</x:v>
      </x:c>
    </x:row>
    <x:row r="8" ht="15" hidden="0" customHeight="1">
      <x:c r="A8" s="15" t="str">
        <x:v>All benchmarks</x:v>
      </x:c>
      <x:c r="B8" s="15" t="str">
        <x:v>None</x:v>
      </x:c>
      <x:c r="C8" s="15" t="str">
        <x:v>Claude Haiku 4.5</x:v>
      </x:c>
      <x:c r="D8" s="116" t="n">
        <x:v>0.7706242037712002</x:v>
      </x:c>
      <x:c r="E8" s="116" t="n">
        <x:v>0.8116039173033645</x:v>
      </x:c>
      <x:c r="F8" s="116" t="n">
        <x:v>0.04097971353216423</x:v>
      </x:c>
      <x:c r="G8" s="116" t="n">
        <x:v>0.04097971353216423</x:v>
      </x:c>
      <x:c r="H8" s="116" t="n">
        <x:f>D8*EXP(-$B$3*G8)</x:f>
        <x:v>0.7396825644167744</x:v>
      </x:c>
      <x:c r="I8" s="44" t="n">
        <x:f>1+COUNTIFS($A$6:$A$29,A8,$H$6:$H$29,"&gt;"&amp;H8)</x:f>
        <x:v>3</x:v>
      </x:c>
      <x:c r="J8" s="44" t="n">
        <x:v>3</x:v>
      </x:c>
      <x:c r="K8" s="44" t="n">
        <x:f>I8-J8</x:f>
        <x:v>0</x:v>
      </x:c>
      <x:c r="L8" s="116" t="n">
        <x:v>2.2095138362201783</x:v>
      </x:c>
      <x:c r="M8" s="115" t="b">
        <x:v>1</x:v>
      </x:c>
      <x:c r="N8" s="15" t="n">
        <x:v>7738</x:v>
      </x:c>
      <x:c r="O8" s="15" t="str">
        <x:v>AdvGLUE, BBQ, BOLD, RTP, StereoSet</x:v>
      </x:c>
    </x:row>
    <x:row r="9" ht="15" hidden="0" customHeight="1">
      <x:c r="A9" s="15" t="str">
        <x:v>All benchmarks</x:v>
      </x:c>
      <x:c r="B9" s="15" t="str">
        <x:v>None</x:v>
      </x:c>
      <x:c r="C9" s="15" t="str">
        <x:v>Llama 3.1-8B</x:v>
      </x:c>
      <x:c r="D9" s="116" t="n">
        <x:v>0.6451552163948617</x:v>
      </x:c>
      <x:c r="E9" s="116" t="n">
        <x:v>0.6863299250360401</x:v>
      </x:c>
      <x:c r="F9" s="116" t="n">
        <x:v>0.04117470864117834</x:v>
      </x:c>
      <x:c r="G9" s="116" t="n">
        <x:v>0.04117470864117834</x:v>
      </x:c>
      <x:c r="H9" s="116" t="n">
        <x:f>D9*EXP(-$B$3*G9)</x:f>
        <x:v>0.6191305931194826</x:v>
      </x:c>
      <x:c r="I9" s="44" t="n">
        <x:f>1+COUNTIFS($A$6:$A$29,A9,$H$6:$H$29,"&gt;"&amp;H9)</x:f>
        <x:v>4</x:v>
      </x:c>
      <x:c r="J9" s="44" t="n">
        <x:v>4</x:v>
      </x:c>
      <x:c r="K9" s="44" t="n">
        <x:f>I9-J9</x:f>
        <x:v>0</x:v>
      </x:c>
      <x:c r="L9" s="116" t="n">
        <x:v>2.2095138362201783</x:v>
      </x:c>
      <x:c r="M9" s="115" t="b">
        <x:v>1</x:v>
      </x:c>
      <x:c r="N9" s="15" t="n">
        <x:v>7738</x:v>
      </x:c>
      <x:c r="O9" s="15" t="str">
        <x:v>AdvGLUE, BBQ, BOLD, RTP, StereoSet</x:v>
      </x:c>
    </x:row>
    <x:row r="10" ht="15" hidden="0" customHeight="1">
      <x:c r="A10" s="15" t="str">
        <x:v>Exclude BBQ</x:v>
      </x:c>
      <x:c r="B10" s="15" t="str">
        <x:v>BBQ</x:v>
      </x:c>
      <x:c r="C10" s="15" t="str">
        <x:v>GPT-4.1-mini</x:v>
      </x:c>
      <x:c r="D10" s="116" t="n">
        <x:v>0.8730228376795591</x:v>
      </x:c>
      <x:c r="E10" s="116" t="n">
        <x:v>0.8890584591379838</x:v>
      </x:c>
      <x:c r="F10" s="116" t="n">
        <x:v>0.01603562145842463</x:v>
      </x:c>
      <x:c r="G10" s="116" t="n">
        <x:v>0.01603562145842463</x:v>
      </x:c>
      <x:c r="H10" s="116" t="n">
        <x:f>D10*EXP(-$B$3*G10)</x:f>
        <x:v>0.8591350214051189</x:v>
      </x:c>
      <x:c r="I10" s="44" t="n">
        <x:f>1+COUNTIFS($A$6:$A$29,A10,$H$6:$H$29,"&gt;"&amp;H10)</x:f>
        <x:v>1</x:v>
      </x:c>
      <x:c r="J10" s="44" t="n">
        <x:v>1</x:v>
      </x:c>
      <x:c r="K10" s="44" t="n">
        <x:f>I10-J10</x:f>
        <x:v>0</x:v>
      </x:c>
      <x:c r="L10" s="116" t="n">
        <x:v>2.5610626075859613</x:v>
      </x:c>
      <x:c r="M10" s="115" t="b">
        <x:v>1</x:v>
      </x:c>
      <x:c r="N10" s="15" t="n">
        <x:v>5738</x:v>
      </x:c>
      <x:c r="O10" s="15" t="str">
        <x:v>AdvGLUE, BOLD, RTP, StereoSet</x:v>
      </x:c>
    </x:row>
    <x:row r="11" ht="15" hidden="0" customHeight="1">
      <x:c r="A11" s="15" t="str">
        <x:v>Exclude BBQ</x:v>
      </x:c>
      <x:c r="B11" s="15" t="str">
        <x:v>BBQ</x:v>
      </x:c>
      <x:c r="C11" s="15" t="str">
        <x:v>Qwen2.5-7B</x:v>
      </x:c>
      <x:c r="D11" s="116" t="n">
        <x:v>0.8016538772294679</x:v>
      </x:c>
      <x:c r="E11" s="116" t="n">
        <x:v>0.8355690288458619</x:v>
      </x:c>
      <x:c r="F11" s="116" t="n">
        <x:v>0.033915151616394024</x:v>
      </x:c>
      <x:c r="G11" s="116" t="n">
        <x:v>0.033915151616394024</x:v>
      </x:c>
      <x:c r="H11" s="116" t="n">
        <x:f>D11*EXP(-$B$3*G11)</x:f>
        <x:v>0.7749215423631214</x:v>
      </x:c>
      <x:c r="I11" s="44" t="n">
        <x:f>1+COUNTIFS($A$6:$A$29,A11,$H$6:$H$29,"&gt;"&amp;H11)</x:f>
        <x:v>2</x:v>
      </x:c>
      <x:c r="J11" s="44" t="n">
        <x:v>2</x:v>
      </x:c>
      <x:c r="K11" s="44" t="n">
        <x:f>I11-J11</x:f>
        <x:v>0</x:v>
      </x:c>
      <x:c r="L11" s="116" t="n">
        <x:v>2.5610626075859613</x:v>
      </x:c>
      <x:c r="M11" s="115" t="b">
        <x:v>1</x:v>
      </x:c>
      <x:c r="N11" s="15" t="n">
        <x:v>5738</x:v>
      </x:c>
      <x:c r="O11" s="15" t="str">
        <x:v>AdvGLUE, BOLD, RTP, StereoSet</x:v>
      </x:c>
    </x:row>
    <x:row r="12" ht="15" hidden="0" customHeight="1">
      <x:c r="A12" s="15" t="str">
        <x:v>Exclude BBQ</x:v>
      </x:c>
      <x:c r="B12" s="15" t="str">
        <x:v>BBQ</x:v>
      </x:c>
      <x:c r="C12" s="15" t="str">
        <x:v>Claude Haiku 4.5</x:v>
      </x:c>
      <x:c r="D12" s="116" t="n">
        <x:v>0.7024723509582097</x:v>
      </x:c>
      <x:c r="E12" s="116" t="n">
        <x:v>0.7857983017625713</x:v>
      </x:c>
      <x:c r="F12" s="116" t="n">
        <x:v>0.08332595080436156</x:v>
      </x:c>
      <x:c r="G12" s="116" t="n">
        <x:v>0.08332595080436156</x:v>
      </x:c>
      <x:c r="H12" s="116" t="n">
        <x:f>D12*EXP(-$B$3*G12)</x:f>
        <x:v>0.6463105343192624</x:v>
      </x:c>
      <x:c r="I12" s="44" t="n">
        <x:f>1+COUNTIFS($A$6:$A$29,A12,$H$6:$H$29,"&gt;"&amp;H12)</x:f>
        <x:v>4</x:v>
      </x:c>
      <x:c r="J12" s="44" t="n">
        <x:v>3</x:v>
      </x:c>
      <x:c r="K12" s="44" t="n">
        <x:f>I12-J12</x:f>
        <x:v>1</x:v>
      </x:c>
      <x:c r="L12" s="116" t="n">
        <x:v>2.5610626075859613</x:v>
      </x:c>
      <x:c r="M12" s="115" t="b">
        <x:v>1</x:v>
      </x:c>
      <x:c r="N12" s="15" t="n">
        <x:v>5738</x:v>
      </x:c>
      <x:c r="O12" s="15" t="str">
        <x:v>AdvGLUE, BOLD, RTP, StereoSet</x:v>
      </x:c>
    </x:row>
    <x:row r="13" ht="15" hidden="0" customHeight="1">
      <x:c r="A13" s="15" t="str">
        <x:v>Exclude BBQ</x:v>
      </x:c>
      <x:c r="B13" s="15" t="str">
        <x:v>BBQ</x:v>
      </x:c>
      <x:c r="C13" s="15" t="str">
        <x:v>Llama 3.1-8B</x:v>
      </x:c>
      <x:c r="D13" s="116" t="n">
        <x:v>0.69394155668752</x:v>
      </x:c>
      <x:c r="E13" s="116" t="n">
        <x:v>0.687865161629325</x:v>
      </x:c>
      <x:c r="F13" s="116" t="n">
        <x:v>-0.006076395058195017</x:v>
      </x:c>
      <x:c r="G13" s="116" t="n">
        <x:v>0.006076395058195017</x:v>
      </x:c>
      <x:c r="H13" s="116" t="n">
        <x:f>D13*EXP(-$B$3*G13)</x:f>
        <x:v>0.6897376787880604</x:v>
      </x:c>
      <x:c r="I13" s="44" t="n">
        <x:f>1+COUNTIFS($A$6:$A$29,A13,$H$6:$H$29,"&gt;"&amp;H13)</x:f>
        <x:v>3</x:v>
      </x:c>
      <x:c r="J13" s="44" t="n">
        <x:v>4</x:v>
      </x:c>
      <x:c r="K13" s="44" t="n">
        <x:f>I13-J13</x:f>
        <x:v>-1</x:v>
      </x:c>
      <x:c r="L13" s="116" t="n">
        <x:v>2.5610626075859613</x:v>
      </x:c>
      <x:c r="M13" s="115" t="b">
        <x:v>1</x:v>
      </x:c>
      <x:c r="N13" s="15" t="n">
        <x:v>5738</x:v>
      </x:c>
      <x:c r="O13" s="15" t="str">
        <x:v>AdvGLUE, BOLD, RTP, StereoSet</x:v>
      </x:c>
    </x:row>
    <x:row r="14" ht="15" hidden="0" customHeight="1">
      <x:c r="A14" s="15" t="str">
        <x:v>Exclude StereoSet</x:v>
      </x:c>
      <x:c r="B14" s="15" t="str">
        <x:v>StereoSet</x:v>
      </x:c>
      <x:c r="C14" s="15" t="str">
        <x:v>GPT-4.1-mini</x:v>
      </x:c>
      <x:c r="D14" s="116" t="n">
        <x:v>0.9544936882734004</x:v>
      </x:c>
      <x:c r="E14" s="116" t="n">
        <x:v>0.9649766150586696</x:v>
      </x:c>
      <x:c r="F14" s="116" t="n">
        <x:v>0.010482926785269187</x:v>
      </x:c>
      <x:c r="G14" s="116" t="n">
        <x:v>0.010482926785269187</x:v>
      </x:c>
      <x:c r="H14" s="116" t="n">
        <x:f>D14*EXP(-$B$3*G14)</x:f>
        <x:v>0.9445400635335334</x:v>
      </x:c>
      <x:c r="I14" s="44" t="n">
        <x:f>1+COUNTIFS($A$6:$A$29,A14,$H$6:$H$29,"&gt;"&amp;H14)</x:f>
        <x:v>1</x:v>
      </x:c>
      <x:c r="J14" s="44" t="n">
        <x:v>1</x:v>
      </x:c>
      <x:c r="K14" s="44" t="n">
        <x:f>I14-J14</x:f>
        <x:v>0</x:v>
      </x:c>
      <x:c r="L14" s="116" t="n">
        <x:v>2.1708021612083885</x:v>
      </x:c>
      <x:c r="M14" s="115" t="b">
        <x:v>1</x:v>
      </x:c>
      <x:c r="N14" s="15" t="n">
        <x:v>6738</x:v>
      </x:c>
      <x:c r="O14" s="15" t="str">
        <x:v>AdvGLUE, BBQ, BOLD, RTP</x:v>
      </x:c>
    </x:row>
    <x:row r="15" ht="15" hidden="0" customHeight="1">
      <x:c r="A15" s="15" t="str">
        <x:v>Exclude StereoSet</x:v>
      </x:c>
      <x:c r="B15" s="15" t="str">
        <x:v>StereoSet</x:v>
      </x:c>
      <x:c r="C15" s="15" t="str">
        <x:v>Qwen2.5-7B</x:v>
      </x:c>
      <x:c r="D15" s="116" t="n">
        <x:v>0.9015813334078037</x:v>
      </x:c>
      <x:c r="E15" s="116" t="n">
        <x:v>0.9119636611689292</x:v>
      </x:c>
      <x:c r="F15" s="116" t="n">
        <x:v>0.010382327761125576</x:v>
      </x:c>
      <x:c r="G15" s="116" t="n">
        <x:v>0.010382327761125576</x:v>
      </x:c>
      <x:c r="H15" s="116" t="n">
        <x:f>D15*EXP(-$B$3*G15)</x:f>
        <x:v>0.8922692447272668</x:v>
      </x:c>
      <x:c r="I15" s="44" t="n">
        <x:f>1+COUNTIFS($A$6:$A$29,A15,$H$6:$H$29,"&gt;"&amp;H15)</x:f>
        <x:v>2</x:v>
      </x:c>
      <x:c r="J15" s="44" t="n">
        <x:v>2</x:v>
      </x:c>
      <x:c r="K15" s="44" t="n">
        <x:f>I15-J15</x:f>
        <x:v>0</x:v>
      </x:c>
      <x:c r="L15" s="116" t="n">
        <x:v>2.1708021612083885</x:v>
      </x:c>
      <x:c r="M15" s="115" t="b">
        <x:v>1</x:v>
      </x:c>
      <x:c r="N15" s="15" t="n">
        <x:v>6738</x:v>
      </x:c>
      <x:c r="O15" s="15" t="str">
        <x:v>AdvGLUE, BBQ, BOLD, RTP</x:v>
      </x:c>
    </x:row>
    <x:row r="16" ht="15" hidden="0" customHeight="1">
      <x:c r="A16" s="15" t="str">
        <x:v>Exclude StereoSet</x:v>
      </x:c>
      <x:c r="B16" s="15" t="str">
        <x:v>StereoSet</x:v>
      </x:c>
      <x:c r="C16" s="15" t="str">
        <x:v>Claude Haiku 4.5</x:v>
      </x:c>
      <x:c r="D16" s="116" t="n">
        <x:v>0.8622291491151022</x:v>
      </x:c>
      <x:c r="E16" s="116" t="n">
        <x:v>0.9033161837876368</x:v>
      </x:c>
      <x:c r="F16" s="116" t="n">
        <x:v>0.041087034672534606</x:v>
      </x:c>
      <x:c r="G16" s="116" t="n">
        <x:v>0.041087034672534606</x:v>
      </x:c>
      <x:c r="H16" s="116" t="n">
        <x:f>D16*EXP(-$B$3*G16)</x:f>
        <x:v>0.827520627889576</x:v>
      </x:c>
      <x:c r="I16" s="44" t="n">
        <x:f>1+COUNTIFS($A$6:$A$29,A16,$H$6:$H$29,"&gt;"&amp;H16)</x:f>
        <x:v>3</x:v>
      </x:c>
      <x:c r="J16" s="44" t="n">
        <x:v>3</x:v>
      </x:c>
      <x:c r="K16" s="44" t="n">
        <x:f>I16-J16</x:f>
        <x:v>0</x:v>
      </x:c>
      <x:c r="L16" s="116" t="n">
        <x:v>2.1708021612083885</x:v>
      </x:c>
      <x:c r="M16" s="115" t="b">
        <x:v>1</x:v>
      </x:c>
      <x:c r="N16" s="15" t="n">
        <x:v>6738</x:v>
      </x:c>
      <x:c r="O16" s="15" t="str">
        <x:v>AdvGLUE, BBQ, BOLD, RTP</x:v>
      </x:c>
    </x:row>
    <x:row r="17" ht="15" hidden="0" customHeight="1">
      <x:c r="A17" s="15" t="str">
        <x:v>Exclude StereoSet</x:v>
      </x:c>
      <x:c r="B17" s="15" t="str">
        <x:v>StereoSet</x:v>
      </x:c>
      <x:c r="C17" s="15" t="str">
        <x:v>Llama 3.1-8B</x:v>
      </x:c>
      <x:c r="D17" s="116" t="n">
        <x:v>0.7688735441176046</x:v>
      </x:c>
      <x:c r="E17" s="116" t="n">
        <x:v>0.8010884860380759</x:v>
      </x:c>
      <x:c r="F17" s="116" t="n">
        <x:v>0.03221494192047136</x:v>
      </x:c>
      <x:c r="G17" s="116" t="n">
        <x:v>0.03221494192047136</x:v>
      </x:c>
      <x:c r="H17" s="116" t="n">
        <x:f>D17*EXP(-$B$3*G17)</x:f>
        <x:v>0.7444990470103358</x:v>
      </x:c>
      <x:c r="I17" s="44" t="n">
        <x:f>1+COUNTIFS($A$6:$A$29,A17,$H$6:$H$29,"&gt;"&amp;H17)</x:f>
        <x:v>4</x:v>
      </x:c>
      <x:c r="J17" s="44" t="n">
        <x:v>4</x:v>
      </x:c>
      <x:c r="K17" s="44" t="n">
        <x:f>I17-J17</x:f>
        <x:v>0</x:v>
      </x:c>
      <x:c r="L17" s="116" t="n">
        <x:v>2.1708021612083885</x:v>
      </x:c>
      <x:c r="M17" s="115" t="b">
        <x:v>1</x:v>
      </x:c>
      <x:c r="N17" s="15" t="n">
        <x:v>6738</x:v>
      </x:c>
      <x:c r="O17" s="15" t="str">
        <x:v>AdvGLUE, BBQ, BOLD, RTP</x:v>
      </x:c>
    </x:row>
    <x:row r="18" ht="15" hidden="0" customHeight="1">
      <x:c r="A18" s="15" t="str">
        <x:v>Exclude AdvGLUE</x:v>
      </x:c>
      <x:c r="B18" s="15" t="str">
        <x:v>AdvGLUE</x:v>
      </x:c>
      <x:c r="C18" s="15" t="str">
        <x:v>GPT-4.1-mini</x:v>
      </x:c>
      <x:c r="D18" s="116" t="n">
        <x:v>0.9184495125780384</x:v>
      </x:c>
      <x:c r="E18" s="116" t="n">
        <x:v>0.929466722423689</x:v>
      </x:c>
      <x:c r="F18" s="116" t="n">
        <x:v>0.011017209845650577</x:v>
      </x:c>
      <x:c r="G18" s="116" t="n">
        <x:v>0.011017209845650577</x:v>
      </x:c>
      <x:c r="H18" s="116" t="n">
        <x:f>D18*EXP(-$B$3*G18)</x:f>
        <x:v>0.9083862976290397</x:v>
      </x:c>
      <x:c r="I18" s="44" t="n">
        <x:f>1+COUNTIFS($A$6:$A$29,A18,$H$6:$H$29,"&gt;"&amp;H18)</x:f>
        <x:v>1</x:v>
      </x:c>
      <x:c r="J18" s="44" t="n">
        <x:v>1</x:v>
      </x:c>
      <x:c r="K18" s="44" t="n">
        <x:f>I18-J18</x:f>
        <x:v>0</x:v>
      </x:c>
      <x:c r="L18" s="116" t="n">
        <x:v>2.277590444892209</x:v>
      </x:c>
      <x:c r="M18" s="115" t="b">
        <x:v>1</x:v>
      </x:c>
      <x:c r="N18" s="15" t="n">
        <x:v>7000</x:v>
      </x:c>
      <x:c r="O18" s="15" t="str">
        <x:v>BBQ, BOLD, RTP, StereoSet</x:v>
      </x:c>
    </x:row>
    <x:row r="19" ht="15" hidden="0" customHeight="1">
      <x:c r="A19" s="15" t="str">
        <x:v>Exclude AdvGLUE</x:v>
      </x:c>
      <x:c r="B19" s="15" t="str">
        <x:v>AdvGLUE</x:v>
      </x:c>
      <x:c r="C19" s="15" t="str">
        <x:v>Qwen2.5-7B</x:v>
      </x:c>
      <x:c r="D19" s="116" t="n">
        <x:v>0.8490177690487266</x:v>
      </x:c>
      <x:c r="E19" s="116" t="n">
        <x:v>0.8638748672043889</x:v>
      </x:c>
      <x:c r="F19" s="116" t="n">
        <x:v>0.014857098155662274</x:v>
      </x:c>
      <x:c r="G19" s="116" t="n">
        <x:v>0.014857098155662274</x:v>
      </x:c>
      <x:c r="H19" s="116" t="n">
        <x:f>D19*EXP(-$B$3*G19)</x:f>
        <x:v>0.8364970696584733</x:v>
      </x:c>
      <x:c r="I19" s="44" t="n">
        <x:f>1+COUNTIFS($A$6:$A$29,A19,$H$6:$H$29,"&gt;"&amp;H19)</x:f>
        <x:v>2</x:v>
      </x:c>
      <x:c r="J19" s="44" t="n">
        <x:v>2</x:v>
      </x:c>
      <x:c r="K19" s="44" t="n">
        <x:f>I19-J19</x:f>
        <x:v>0</x:v>
      </x:c>
      <x:c r="L19" s="116" t="n">
        <x:v>2.277590444892209</x:v>
      </x:c>
      <x:c r="M19" s="115" t="b">
        <x:v>1</x:v>
      </x:c>
      <x:c r="N19" s="15" t="n">
        <x:v>7000</x:v>
      </x:c>
      <x:c r="O19" s="15" t="str">
        <x:v>BBQ, BOLD, RTP, StereoSet</x:v>
      </x:c>
    </x:row>
    <x:row r="20" ht="15" hidden="0" customHeight="1">
      <x:c r="A20" s="15" t="str">
        <x:v>Exclude AdvGLUE</x:v>
      </x:c>
      <x:c r="B20" s="15" t="str">
        <x:v>AdvGLUE</x:v>
      </x:c>
      <x:c r="C20" s="15" t="str">
        <x:v>Claude Haiku 4.5</x:v>
      </x:c>
      <x:c r="D20" s="116" t="n">
        <x:v>0.7784114011424953</x:v>
      </x:c>
      <x:c r="E20" s="116" t="n">
        <x:v>0.8197741355800192</x:v>
      </x:c>
      <x:c r="F20" s="116" t="n">
        <x:v>0.04136273443752392</x:v>
      </x:c>
      <x:c r="G20" s="116" t="n">
        <x:v>0.04136273443752392</x:v>
      </x:c>
      <x:c r="H20" s="116" t="n">
        <x:f>D20*EXP(-$B$3*G20)</x:f>
        <x:v>0.7468709729365864</x:v>
      </x:c>
      <x:c r="I20" s="44" t="n">
        <x:f>1+COUNTIFS($A$6:$A$29,A20,$H$6:$H$29,"&gt;"&amp;H20)</x:f>
        <x:v>3</x:v>
      </x:c>
      <x:c r="J20" s="44" t="n">
        <x:v>3</x:v>
      </x:c>
      <x:c r="K20" s="44" t="n">
        <x:f>I20-J20</x:f>
        <x:v>0</x:v>
      </x:c>
      <x:c r="L20" s="116" t="n">
        <x:v>2.277590444892209</x:v>
      </x:c>
      <x:c r="M20" s="115" t="b">
        <x:v>1</x:v>
      </x:c>
      <x:c r="N20" s="15" t="n">
        <x:v>7000</x:v>
      </x:c>
      <x:c r="O20" s="15" t="str">
        <x:v>BBQ, BOLD, RTP, StereoSet</x:v>
      </x:c>
    </x:row>
    <x:row r="21" ht="15" hidden="0" customHeight="1">
      <x:c r="A21" s="15" t="str">
        <x:v>Exclude AdvGLUE</x:v>
      </x:c>
      <x:c r="B21" s="15" t="str">
        <x:v>AdvGLUE</x:v>
      </x:c>
      <x:c r="C21" s="15" t="str">
        <x:v>Llama 3.1-8B</x:v>
      </x:c>
      <x:c r="D21" s="116" t="n">
        <x:v>0.6699710657308345</x:v>
      </x:c>
      <x:c r="E21" s="116" t="n">
        <x:v>0.7234216794505821</x:v>
      </x:c>
      <x:c r="F21" s="116" t="n">
        <x:v>0.053450613719747575</x:v>
      </x:c>
      <x:c r="G21" s="116" t="n">
        <x:v>0.053450613719747575</x:v>
      </x:c>
      <x:c r="H21" s="116" t="n">
        <x:f>D21*EXP(-$B$3*G21)</x:f>
        <x:v>0.6351009180043383</x:v>
      </x:c>
      <x:c r="I21" s="44" t="n">
        <x:f>1+COUNTIFS($A$6:$A$29,A21,$H$6:$H$29,"&gt;"&amp;H21)</x:f>
        <x:v>4</x:v>
      </x:c>
      <x:c r="J21" s="44" t="n">
        <x:v>4</x:v>
      </x:c>
      <x:c r="K21" s="44" t="n">
        <x:f>I21-J21</x:f>
        <x:v>0</x:v>
      </x:c>
      <x:c r="L21" s="116" t="n">
        <x:v>2.277590444892209</x:v>
      </x:c>
      <x:c r="M21" s="115" t="b">
        <x:v>1</x:v>
      </x:c>
      <x:c r="N21" s="15" t="n">
        <x:v>7000</x:v>
      </x:c>
      <x:c r="O21" s="15" t="str">
        <x:v>BBQ, BOLD, RTP, StereoSet</x:v>
      </x:c>
    </x:row>
    <x:row r="22" ht="15" hidden="0" customHeight="1">
      <x:c r="A22" s="15" t="str">
        <x:v>Exclude BOLD</x:v>
      </x:c>
      <x:c r="B22" s="15" t="str">
        <x:v>BOLD</x:v>
      </x:c>
      <x:c r="C22" s="15" t="str">
        <x:v>GPT-4.1-mini</x:v>
      </x:c>
      <x:c r="D22" s="116" t="n">
        <x:v>0.8741433386014639</x:v>
      </x:c>
      <x:c r="E22" s="116" t="n">
        <x:v>0.8788495439206192</x:v>
      </x:c>
      <x:c r="F22" s="116" t="n">
        <x:v>0.004706205319155332</x:v>
      </x:c>
      <x:c r="G22" s="116" t="n">
        <x:v>0.004706205319155332</x:v>
      </x:c>
      <x:c r="H22" s="116" t="n">
        <x:f>D22*EXP(-$B$3*G22)</x:f>
        <x:v>0.8700391058278575</x:v>
      </x:c>
      <x:c r="I22" s="44" t="n">
        <x:f>1+COUNTIFS($A$6:$A$29,A22,$H$6:$H$29,"&gt;"&amp;H22)</x:f>
        <x:v>1</x:v>
      </x:c>
      <x:c r="J22" s="44" t="n">
        <x:v>1</x:v>
      </x:c>
      <x:c r="K22" s="44" t="n">
        <x:f>I22-J22</x:f>
        <x:v>0</x:v>
      </x:c>
      <x:c r="L22" s="116" t="n">
        <x:v>1.9137165494689683</x:v>
      </x:c>
      <x:c r="M22" s="115" t="b">
        <x:v>1</x:v>
      </x:c>
      <x:c r="N22" s="15" t="n">
        <x:v>5738</x:v>
      </x:c>
      <x:c r="O22" s="15" t="str">
        <x:v>AdvGLUE, BBQ, RTP, StereoSet</x:v>
      </x:c>
    </x:row>
    <x:row r="23" ht="15" hidden="0" customHeight="1">
      <x:c r="A23" s="15" t="str">
        <x:v>Exclude BOLD</x:v>
      </x:c>
      <x:c r="B23" s="15" t="str">
        <x:v>BOLD</x:v>
      </x:c>
      <x:c r="C23" s="15" t="str">
        <x:v>Qwen2.5-7B</x:v>
      </x:c>
      <x:c r="D23" s="116" t="n">
        <x:v>0.7501256064720417</x:v>
      </x:c>
      <x:c r="E23" s="116" t="n">
        <x:v>0.7626148592115338</x:v>
      </x:c>
      <x:c r="F23" s="116" t="n">
        <x:v>0.012489252739492085</x:v>
      </x:c>
      <x:c r="G23" s="116" t="n">
        <x:v>0.012489252739492085</x:v>
      </x:c>
      <x:c r="H23" s="116" t="n">
        <x:f>D23*EXP(-$B$3*G23)</x:f>
        <x:v>0.7408153582266577</x:v>
      </x:c>
      <x:c r="I23" s="44" t="n">
        <x:f>1+COUNTIFS($A$6:$A$29,A23,$H$6:$H$29,"&gt;"&amp;H23)</x:f>
        <x:v>2</x:v>
      </x:c>
      <x:c r="J23" s="44" t="n">
        <x:v>2</x:v>
      </x:c>
      <x:c r="K23" s="44" t="n">
        <x:f>I23-J23</x:f>
        <x:v>0</x:v>
      </x:c>
      <x:c r="L23" s="116" t="n">
        <x:v>1.9137165494689683</x:v>
      </x:c>
      <x:c r="M23" s="115" t="b">
        <x:v>1</x:v>
      </x:c>
      <x:c r="N23" s="15" t="n">
        <x:v>5738</x:v>
      </x:c>
      <x:c r="O23" s="15" t="str">
        <x:v>AdvGLUE, BBQ, RTP, StereoSet</x:v>
      </x:c>
    </x:row>
    <x:row r="24" ht="15" hidden="0" customHeight="1">
      <x:c r="A24" s="15" t="str">
        <x:v>Exclude BOLD</x:v>
      </x:c>
      <x:c r="B24" s="15" t="str">
        <x:v>BOLD</x:v>
      </x:c>
      <x:c r="C24" s="15" t="str">
        <x:v>Claude Haiku 4.5</x:v>
      </x:c>
      <x:c r="D24" s="116" t="n">
        <x:v>0.6949364657488211</x:v>
      </x:c>
      <x:c r="E24" s="116" t="n">
        <x:v>0.7230951015659767</x:v>
      </x:c>
      <x:c r="F24" s="116" t="n">
        <x:v>0.02815863581715561</x:v>
      </x:c>
      <x:c r="G24" s="116" t="n">
        <x:v>0.02815863581715561</x:v>
      </x:c>
      <x:c r="H24" s="116" t="n">
        <x:f>D24*EXP(-$B$3*G24)</x:f>
        <x:v>0.6756409456048063</x:v>
      </x:c>
      <x:c r="I24" s="44" t="n">
        <x:f>1+COUNTIFS($A$6:$A$29,A24,$H$6:$H$29,"&gt;"&amp;H24)</x:f>
        <x:v>3</x:v>
      </x:c>
      <x:c r="J24" s="44" t="n">
        <x:v>3</x:v>
      </x:c>
      <x:c r="K24" s="44" t="n">
        <x:f>I24-J24</x:f>
        <x:v>0</x:v>
      </x:c>
      <x:c r="L24" s="116" t="n">
        <x:v>1.9137165494689683</x:v>
      </x:c>
      <x:c r="M24" s="115" t="b">
        <x:v>1</x:v>
      </x:c>
      <x:c r="N24" s="15" t="n">
        <x:v>5738</x:v>
      </x:c>
      <x:c r="O24" s="15" t="str">
        <x:v>AdvGLUE, BBQ, RTP, StereoSet</x:v>
      </x:c>
    </x:row>
    <x:row r="25" ht="15" hidden="0" customHeight="1">
      <x:c r="A25" s="15" t="str">
        <x:v>Exclude BOLD</x:v>
      </x:c>
      <x:c r="B25" s="15" t="str">
        <x:v>BOLD</x:v>
      </x:c>
      <x:c r="C25" s="15" t="str">
        <x:v>Llama 3.1-8B</x:v>
      </x:c>
      <x:c r="D25" s="116" t="n">
        <x:v>0.5261730924427752</x:v>
      </x:c>
      <x:c r="E25" s="116" t="n">
        <x:v>0.5652662596331953</x:v>
      </x:c>
      <x:c r="F25" s="116" t="n">
        <x:v>0.03909316719042011</x:v>
      </x:c>
      <x:c r="G25" s="116" t="n">
        <x:v>0.03909316719042011</x:v>
      </x:c>
      <x:c r="H25" s="116" t="n">
        <x:f>D25*EXP(-$B$3*G25)</x:f>
        <x:v>0.5060001999774512</x:v>
      </x:c>
      <x:c r="I25" s="44" t="n">
        <x:f>1+COUNTIFS($A$6:$A$29,A25,$H$6:$H$29,"&gt;"&amp;H25)</x:f>
        <x:v>4</x:v>
      </x:c>
      <x:c r="J25" s="44" t="n">
        <x:v>4</x:v>
      </x:c>
      <x:c r="K25" s="44" t="n">
        <x:f>I25-J25</x:f>
        <x:v>0</x:v>
      </x:c>
      <x:c r="L25" s="116" t="n">
        <x:v>1.9137165494689683</x:v>
      </x:c>
      <x:c r="M25" s="115" t="b">
        <x:v>1</x:v>
      </x:c>
      <x:c r="N25" s="15" t="n">
        <x:v>5738</x:v>
      </x:c>
      <x:c r="O25" s="15" t="str">
        <x:v>AdvGLUE, BBQ, RTP, StereoSet</x:v>
      </x:c>
    </x:row>
    <x:row r="26" ht="15" hidden="0" customHeight="1">
      <x:c r="A26" s="15" t="str">
        <x:v>Exclude RTP</x:v>
      </x:c>
      <x:c r="B26" s="15" t="str">
        <x:v>RTP</x:v>
      </x:c>
      <x:c r="C26" s="15" t="str">
        <x:v>GPT-4.1-mini</x:v>
      </x:c>
      <x:c r="D26" s="116" t="n">
        <x:v>0.8610016212139304</x:v>
      </x:c>
      <x:c r="E26" s="116" t="n">
        <x:v>0.8736298336492478</x:v>
      </x:c>
      <x:c r="F26" s="116" t="n">
        <x:v>0.01262821243531742</x:v>
      </x:c>
      <x:c r="G26" s="116" t="n">
        <x:v>0.01262821243531742</x:v>
      </x:c>
      <x:c r="H26" s="116" t="n">
        <x:f>D26*EXP(-$B$3*G26)</x:f>
        <x:v>0.8501970744744507</x:v>
      </x:c>
      <x:c r="I26" s="44" t="n">
        <x:f>1+COUNTIFS($A$6:$A$29,A26,$H$6:$H$29,"&gt;"&amp;H26)</x:f>
        <x:v>1</x:v>
      </x:c>
      <x:c r="J26" s="44" t="n">
        <x:v>1</x:v>
      </x:c>
      <x:c r="K26" s="44" t="n">
        <x:f>I26-J26</x:f>
        <x:v>0</x:v>
      </x:c>
      <x:c r="L26" s="116" t="n">
        <x:v>2.2244845153035255</x:v>
      </x:c>
      <x:c r="M26" s="115" t="b">
        <x:v>1</x:v>
      </x:c>
      <x:c r="N26" s="15" t="n">
        <x:v>5738</x:v>
      </x:c>
      <x:c r="O26" s="15" t="str">
        <x:v>AdvGLUE, BBQ, BOLD, StereoSet</x:v>
      </x:c>
    </x:row>
    <x:row r="27" ht="15" hidden="0" customHeight="1">
      <x:c r="A27" s="15" t="str">
        <x:v>Exclude RTP</x:v>
      </x:c>
      <x:c r="B27" s="15" t="str">
        <x:v>RTP</x:v>
      </x:c>
      <x:c r="C27" s="15" t="str">
        <x:v>Qwen2.5-7B</x:v>
      </x:c>
      <x:c r="D27" s="116" t="n">
        <x:v>0.7401232844533588</x:v>
      </x:c>
      <x:c r="E27" s="116" t="n">
        <x:v>0.7681377373780434</x:v>
      </x:c>
      <x:c r="F27" s="116" t="n">
        <x:v>0.02801445292468452</x:v>
      </x:c>
      <x:c r="G27" s="116" t="n">
        <x:v>0.02801445292468452</x:v>
      </x:c>
      <x:c r="H27" s="116" t="n">
        <x:f>D27*EXP(-$B$3*G27)</x:f>
        <x:v>0.7196768702904068</x:v>
      </x:c>
      <x:c r="I27" s="44" t="n">
        <x:f>1+COUNTIFS($A$6:$A$29,A27,$H$6:$H$29,"&gt;"&amp;H27)</x:f>
        <x:v>3</x:v>
      </x:c>
      <x:c r="J27" s="44" t="n">
        <x:v>2</x:v>
      </x:c>
      <x:c r="K27" s="44" t="n">
        <x:f>I27-J27</x:f>
        <x:v>1</x:v>
      </x:c>
      <x:c r="L27" s="116" t="n">
        <x:v>2.2244845153035255</x:v>
      </x:c>
      <x:c r="M27" s="115" t="b">
        <x:v>1</x:v>
      </x:c>
      <x:c r="N27" s="15" t="n">
        <x:v>5738</x:v>
      </x:c>
      <x:c r="O27" s="15" t="str">
        <x:v>AdvGLUE, BBQ, BOLD, StereoSet</x:v>
      </x:c>
    </x:row>
    <x:row r="28" ht="15" hidden="0" customHeight="1">
      <x:c r="A28" s="15" t="str">
        <x:v>Exclude RTP</x:v>
      </x:c>
      <x:c r="B28" s="15" t="str">
        <x:v>RTP</x:v>
      </x:c>
      <x:c r="C28" s="15" t="str">
        <x:v>Claude Haiku 4.5</x:v>
      </x:c>
      <x:c r="D28" s="116" t="n">
        <x:v>0.786950257166286</x:v>
      </x:c>
      <x:c r="E28" s="116" t="n">
        <x:v>0.7877356441891838</x:v>
      </x:c>
      <x:c r="F28" s="116" t="n">
        <x:v>0.0007853870228978765</x:v>
      </x:c>
      <x:c r="G28" s="116" t="n">
        <x:v>0.0007853870228978765</x:v>
      </x:c>
      <x:c r="H28" s="116" t="n">
        <x:f>D28*EXP(-$B$3*G28)</x:f>
        <x:v>0.7863324392914697</x:v>
      </x:c>
      <x:c r="I28" s="44" t="n">
        <x:f>1+COUNTIFS($A$6:$A$29,A28,$H$6:$H$29,"&gt;"&amp;H28)</x:f>
        <x:v>2</x:v>
      </x:c>
      <x:c r="J28" s="44" t="n">
        <x:v>3</x:v>
      </x:c>
      <x:c r="K28" s="44" t="n">
        <x:f>I28-J28</x:f>
        <x:v>-1</x:v>
      </x:c>
      <x:c r="L28" s="116" t="n">
        <x:v>2.2244845153035255</x:v>
      </x:c>
      <x:c r="M28" s="115" t="b">
        <x:v>1</x:v>
      </x:c>
      <x:c r="N28" s="15" t="n">
        <x:v>5738</x:v>
      </x:c>
      <x:c r="O28" s="15" t="str">
        <x:v>AdvGLUE, BBQ, BOLD, StereoSet</x:v>
      </x:c>
    </x:row>
    <x:row r="29" ht="15" hidden="0" customHeight="1">
      <x:c r="A29" s="15" t="str">
        <x:v>Exclude RTP</x:v>
      </x:c>
      <x:c r="B29" s="15" t="str">
        <x:v>RTP</x:v>
      </x:c>
      <x:c r="C29" s="15" t="str">
        <x:v>Llama 3.1-8B</x:v>
      </x:c>
      <x:c r="D29" s="116" t="n">
        <x:v>0.5584426415002576</x:v>
      </x:c>
      <x:c r="E29" s="116" t="n">
        <x:v>0.6340538285373454</x:v>
      </x:c>
      <x:c r="F29" s="116" t="n">
        <x:v>0.0756111870370878</x:v>
      </x:c>
      <x:c r="G29" s="116" t="n">
        <x:v>0.0756111870370878</x:v>
      </x:c>
      <x:c r="H29" s="116" t="n">
        <x:f>D29*EXP(-$B$3*G29)</x:f>
        <x:v>0.517774969063735</x:v>
      </x:c>
      <x:c r="I29" s="44" t="n">
        <x:f>1+COUNTIFS($A$6:$A$29,A29,$H$6:$H$29,"&gt;"&amp;H29)</x:f>
        <x:v>4</x:v>
      </x:c>
      <x:c r="J29" s="44" t="n">
        <x:v>4</x:v>
      </x:c>
      <x:c r="K29" s="44" t="n">
        <x:f>I29-J29</x:f>
        <x:v>0</x:v>
      </x:c>
      <x:c r="L29" s="116" t="n">
        <x:v>2.2244845153035255</x:v>
      </x:c>
      <x:c r="M29" s="115" t="b">
        <x:v>1</x:v>
      </x:c>
      <x:c r="N29" s="15" t="n">
        <x:v>5738</x:v>
      </x:c>
      <x:c r="O29" s="15" t="str">
        <x:v>AdvGLUE, BBQ, BOLD, StereoSet</x:v>
      </x:c>
    </x:row>
  </x:sheetData>
  <x:mergeCells>
    <x:mergeCell ref="A1:O1"/>
    <x:mergeCell ref="A2: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13" hidden="0" customWidth="1"/>
    <x:col min="4" max="4" width="13" hidden="0" customWidth="1"/>
    <x:col min="5" max="5" width="18" hidden="0" customWidth="1"/>
    <x:col min="6" max="6" width="9" hidden="0" customWidth="1"/>
    <x:col min="7" max="7" width="20" hidden="0" customWidth="1"/>
    <x:col min="8" max="8" width="13" hidden="0" customWidth="1"/>
    <x:col min="10" max="10" width="9" hidden="0" customWidth="1"/>
    <x:col min="11" max="11" width="18" hidden="0" customWidth="1"/>
    <x:col min="12" max="12" width="18" hidden="0" customWidth="1"/>
    <x:col min="13" max="13" width="18" hidden="0" customWidth="1"/>
    <x:col min="14" max="14" width="18" hidden="0" customWidth="1"/>
  </x:cols>
  <x:sheetData>
    <x:row r="1" ht="21.600000381469727" hidden="0" customHeight="1">
      <x:c r="A1" s="80" t="str">
        <x:v>Sensitivity-penalty coefficient analysis</x:v>
      </x:c>
      <x:c r="B1" s="80" t="str">
        <x:v>Sensitivity-penalty coefficient analysis</x:v>
      </x:c>
      <x:c r="C1" s="80" t="str">
        <x:v>Sensitivity-penalty coefficient analysis</x:v>
      </x:c>
      <x:c r="D1" s="80" t="str">
        <x:v>Sensitivity-penalty coefficient analysis</x:v>
      </x:c>
      <x:c r="E1" s="80" t="str">
        <x:v>Sensitivity-penalty coefficient analysis</x:v>
      </x:c>
      <x:c r="F1" s="80" t="str">
        <x:v>Sensitivity-penalty coefficient analysis</x:v>
      </x:c>
      <x:c r="G1" s="80" t="str">
        <x:v>Sensitivity-penalty coefficient analysis</x:v>
      </x:c>
      <x:c r="H1" s="80" t="str">
        <x:v>Sensitivity-penalty coefficient analysis</x:v>
      </x:c>
      <x:c r="I1" s="82"/>
      <x:c r="J1" s="82"/>
      <x:c r="K1" s="82"/>
      <x:c r="L1" s="82"/>
      <x:c r="M1" s="82"/>
      <x:c r="N1" s="82"/>
    </x:row>
    <x:row r="2" ht="15" hidden="0" customHeight="1">
      <x:c r="A2" s="6" t="str">
        <x:v>Official converged VB estimates; adjusted reliability = baseline × EXP(−λ × sensitivity)</x:v>
      </x:c>
      <x:c r="B2" s="6" t="str">
        <x:v>Official converged VB estimates; adjusted reliability = baseline × EXP(−λ × sensitivity)</x:v>
      </x:c>
      <x:c r="C2" s="6" t="str">
        <x:v>Official converged VB estimates; adjusted reliability = baseline × EXP(−λ × sensitivity)</x:v>
      </x:c>
      <x:c r="D2" s="6" t="str">
        <x:v>Official converged VB estimates; adjusted reliability = baseline × EXP(−λ × sensitivity)</x:v>
      </x:c>
      <x:c r="E2" s="6" t="str">
        <x:v>Official converged VB estimates; adjusted reliability = baseline × EXP(−λ × sensitivity)</x:v>
      </x:c>
      <x:c r="F2" s="6" t="str">
        <x:v>Official converged VB estimates; adjusted reliability = baseline × EXP(−λ × sensitivity)</x:v>
      </x:c>
      <x:c r="G2" s="6" t="str">
        <x:v>Official converged VB estimates; adjusted reliability = baseline × EXP(−λ × sensitivity)</x:v>
      </x:c>
      <x:c r="H2" s="6" t="str">
        <x:v>Official converged VB estimates; adjusted reliability = baseline × EXP(−λ × sensitivity)</x:v>
      </x:c>
    </x:row>
    <x:row r="3"/>
    <x:row r="4" ht="15" hidden="0" customHeight="1">
      <x:c r="A4" s="11" t="str">
        <x:v>λ</x:v>
      </x:c>
      <x:c r="B4" s="11" t="str">
        <x:v>Model</x:v>
      </x:c>
      <x:c r="C4" s="11" t="str">
        <x:v>Baseline</x:v>
      </x:c>
      <x:c r="D4" s="11" t="str">
        <x:v>Sensitivity</x:v>
      </x:c>
      <x:c r="E4" s="11" t="str">
        <x:v>Adjusted reliability</x:v>
      </x:c>
      <x:c r="F4" s="11" t="str">
        <x:v>Rank</x:v>
      </x:c>
      <x:c r="G4" s="11" t="str">
        <x:v>Reference rank (λ=1)</x:v>
      </x:c>
      <x:c r="H4" s="11" t="str">
        <x:v>Rank change</x:v>
      </x:c>
      <x:c r="J4" s="11" t="str">
        <x:v>λ</x:v>
      </x:c>
      <x:c r="K4" s="11" t="str">
        <x:v>GPT-4.1-mini</x:v>
      </x:c>
      <x:c r="L4" s="11" t="str">
        <x:v>Qwen2.5-7B</x:v>
      </x:c>
      <x:c r="M4" s="11" t="str">
        <x:v>Claude Haiku 4.5</x:v>
      </x:c>
      <x:c r="N4" s="11" t="str">
        <x:v>Llama 3.1-8B</x:v>
      </x:c>
    </x:row>
    <x:row r="5" ht="15" hidden="0" customHeight="1">
      <x:c r="A5" s="117" t="n">
        <x:v>0</x:v>
      </x:c>
      <x:c r="B5" s="15" t="str">
        <x:v>Claude Haiku 4.5</x:v>
      </x:c>
      <x:c r="C5" s="116" t="n">
        <x:v>0.7729358469773219</x:v>
      </x:c>
      <x:c r="D5" s="116" t="n">
        <x:v>0.0408480616441815</x:v>
      </x:c>
      <x:c r="E5" s="116" t="n">
        <x:f>C5*EXP(-A5*D5)</x:f>
        <x:v>0.7729358469773219</x:v>
      </x:c>
      <x:c r="F5" s="44" t="n">
        <x:f>1+COUNTIFS($A$5:$A$28,A5,$E$5:$E$28,"&gt;"&amp;E5)</x:f>
        <x:v>3</x:v>
      </x:c>
      <x:c r="G5" s="44" t="n">
        <x:v>3</x:v>
      </x:c>
      <x:c r="H5" s="44" t="n">
        <x:f>F5-G5</x:f>
        <x:v>0</x:v>
      </x:c>
      <x:c r="J5" s="117" t="n">
        <x:v>0</x:v>
      </x:c>
      <x:c r="K5" s="118" t="n">
        <x:f>'Penalty Sensitivity'!E6</x:f>
        <x:v>0.9045681175206122</x:v>
      </x:c>
      <x:c r="L5" s="118" t="n">
        <x:f>'Penalty Sensitivity'!E8</x:f>
        <x:v>0.819355906476112</x:v>
      </x:c>
      <x:c r="M5" s="118" t="n">
        <x:f>'Penalty Sensitivity'!E5</x:f>
        <x:v>0.7729358469773219</x:v>
      </x:c>
      <x:c r="N5" s="118" t="n">
        <x:f>'Penalty Sensitivity'!E7</x:f>
        <x:v>0.6470048226615187</x:v>
      </x:c>
    </x:row>
    <x:row r="6" ht="15" hidden="0" customHeight="1">
      <x:c r="A6" s="117" t="n">
        <x:v>0</x:v>
      </x:c>
      <x:c r="B6" s="15" t="str">
        <x:v>GPT-4.1-mini</x:v>
      </x:c>
      <x:c r="C6" s="116" t="n">
        <x:v>0.9045681175206122</x:v>
      </x:c>
      <x:c r="D6" s="116" t="n">
        <x:v>0.011691846530842</x:v>
      </x:c>
      <x:c r="E6" s="116" t="n">
        <x:f>C6*EXP(-A6*D6)</x:f>
        <x:v>0.9045681175206122</x:v>
      </x:c>
      <x:c r="F6" s="44" t="n">
        <x:f>1+COUNTIFS($A$5:$A$28,A6,$E$5:$E$28,"&gt;"&amp;E6)</x:f>
        <x:v>1</x:v>
      </x:c>
      <x:c r="G6" s="44" t="n">
        <x:v>1</x:v>
      </x:c>
      <x:c r="H6" s="44" t="n">
        <x:f>F6-G6</x:f>
        <x:v>0</x:v>
      </x:c>
      <x:c r="J6" s="117" t="n">
        <x:v>0.25</x:v>
      </x:c>
      <x:c r="K6" s="118" t="n">
        <x:f>'Penalty Sensitivity'!E10</x:f>
        <x:v>0.9019279600381659</x:v>
      </x:c>
      <x:c r="L6" s="118" t="n">
        <x:f>'Penalty Sensitivity'!E12</x:f>
        <x:v>0.8154514638742196</x:v>
      </x:c>
      <x:c r="M6" s="118" t="n">
        <x:f>'Penalty Sensitivity'!E9</x:f>
        <x:v>0.7650827802618737</x:v>
      </x:c>
      <x:c r="N6" s="118" t="n">
        <x:f>'Penalty Sensitivity'!E11</x:f>
        <x:v>0.6403360400622781</x:v>
      </x:c>
    </x:row>
    <x:row r="7" ht="15" hidden="0" customHeight="1">
      <x:c r="A7" s="117" t="n">
        <x:v>0</x:v>
      </x:c>
      <x:c r="B7" s="15" t="str">
        <x:v>Llama 3.1-8B</x:v>
      </x:c>
      <x:c r="C7" s="116" t="n">
        <x:v>0.6470048226615187</x:v>
      </x:c>
      <x:c r="D7" s="116" t="n">
        <x:v>0.0414425888040692</x:v>
      </x:c>
      <x:c r="E7" s="116" t="n">
        <x:f>C7*EXP(-A7*D7)</x:f>
        <x:v>0.6470048226615187</x:v>
      </x:c>
      <x:c r="F7" s="44" t="n">
        <x:f>1+COUNTIFS($A$5:$A$28,A7,$E$5:$E$28,"&gt;"&amp;E7)</x:f>
        <x:v>4</x:v>
      </x:c>
      <x:c r="G7" s="44" t="n">
        <x:v>4</x:v>
      </x:c>
      <x:c r="H7" s="44" t="n">
        <x:f>F7-G7</x:f>
        <x:v>0</x:v>
      </x:c>
      <x:c r="J7" s="117" t="n">
        <x:v>0.5</x:v>
      </x:c>
      <x:c r="K7" s="118" t="n">
        <x:f>'Penalty Sensitivity'!E14</x:f>
        <x:v>0.8992955083673628</x:v>
      </x:c>
      <x:c r="L7" s="118" t="n">
        <x:f>'Penalty Sensitivity'!E16</x:f>
        <x:v>0.8115656269501664</x:v>
      </x:c>
      <x:c r="M7" s="118" t="n">
        <x:f>'Penalty Sensitivity'!E13</x:f>
        <x:v>0.7573095010955196</x:v>
      </x:c>
      <x:c r="N7" s="118" t="n">
        <x:f>'Penalty Sensitivity'!E15</x:f>
        <x:v>0.63373599367612</x:v>
      </x:c>
    </x:row>
    <x:row r="8" ht="15" hidden="0" customHeight="1">
      <x:c r="A8" s="117" t="n">
        <x:v>0</x:v>
      </x:c>
      <x:c r="B8" s="15" t="str">
        <x:v>Qwen2.5-7B</x:v>
      </x:c>
      <x:c r="C8" s="116" t="n">
        <x:v>0.819355906476112</x:v>
      </x:c>
      <x:c r="D8" s="116" t="n">
        <x:v>0.0191065937013491</x:v>
      </x:c>
      <x:c r="E8" s="116" t="n">
        <x:f>C8*EXP(-A8*D8)</x:f>
        <x:v>0.819355906476112</x:v>
      </x:c>
      <x:c r="F8" s="44" t="n">
        <x:f>1+COUNTIFS($A$5:$A$28,A8,$E$5:$E$28,"&gt;"&amp;E8)</x:f>
        <x:v>2</x:v>
      </x:c>
      <x:c r="G8" s="44" t="n">
        <x:v>2</x:v>
      </x:c>
      <x:c r="H8" s="44" t="n">
        <x:f>F8-G8</x:f>
        <x:v>0</x:v>
      </x:c>
      <x:c r="J8" s="117" t="n">
        <x:v>1</x:v>
      </x:c>
      <x:c r="K8" s="118" t="n">
        <x:f>'Penalty Sensitivity'!E18</x:f>
        <x:v>0.8940536325627078</x:v>
      </x:c>
      <x:c r="L8" s="118" t="n">
        <x:f>'Penalty Sensitivity'!E20</x:f>
        <x:v>0.8038494159146201</x:v>
      </x:c>
      <x:c r="M8" s="118" t="n">
        <x:f>'Penalty Sensitivity'!E17</x:f>
        <x:v>0.7419990710643958</x:v>
      </x:c>
      <x:c r="N8" s="118" t="n">
        <x:f>'Penalty Sensitivity'!E19</x:f>
        <x:v>0.6207392829446774</x:v>
      </x:c>
    </x:row>
    <x:row r="9" ht="15" hidden="0" customHeight="1">
      <x:c r="A9" s="117" t="n">
        <x:v>0.25</x:v>
      </x:c>
      <x:c r="B9" s="15" t="str">
        <x:v>Claude Haiku 4.5</x:v>
      </x:c>
      <x:c r="C9" s="116" t="n">
        <x:v>0.7729358469773219</x:v>
      </x:c>
      <x:c r="D9" s="116" t="n">
        <x:v>0.0408480616441815</x:v>
      </x:c>
      <x:c r="E9" s="116" t="n">
        <x:f>C9*EXP(-A9*D9)</x:f>
        <x:v>0.7650827802618737</x:v>
      </x:c>
      <x:c r="F9" s="44" t="n">
        <x:f>1+COUNTIFS($A$5:$A$28,A9,$E$5:$E$28,"&gt;"&amp;E9)</x:f>
        <x:v>3</x:v>
      </x:c>
      <x:c r="G9" s="44" t="n">
        <x:v>3</x:v>
      </x:c>
      <x:c r="H9" s="44" t="n">
        <x:f>F9-G9</x:f>
        <x:v>0</x:v>
      </x:c>
      <x:c r="J9" s="117" t="n">
        <x:v>1.5</x:v>
      </x:c>
      <x:c r="K9" s="118" t="n">
        <x:f>'Penalty Sensitivity'!E22</x:f>
        <x:v>0.8888423109659808</x:v>
      </x:c>
      <x:c r="L9" s="118" t="n">
        <x:f>'Penalty Sensitivity'!E24</x:f>
        <x:v>0.7962065691404075</x:v>
      </x:c>
      <x:c r="M9" s="118" t="n">
        <x:f>'Penalty Sensitivity'!E21</x:f>
        <x:v>0.7269981700533079</x:v>
      </x:c>
      <x:c r="N9" s="118" t="n">
        <x:f>'Penalty Sensitivity'!E23</x:f>
        <x:v>0.6080091098432926</x:v>
      </x:c>
    </x:row>
    <x:row r="10" ht="15" hidden="0" customHeight="1">
      <x:c r="A10" s="117" t="n">
        <x:v>0.25</x:v>
      </x:c>
      <x:c r="B10" s="15" t="str">
        <x:v>GPT-4.1-mini</x:v>
      </x:c>
      <x:c r="C10" s="116" t="n">
        <x:v>0.9045681175206122</x:v>
      </x:c>
      <x:c r="D10" s="116" t="n">
        <x:v>0.011691846530842</x:v>
      </x:c>
      <x:c r="E10" s="116" t="n">
        <x:f>C10*EXP(-A10*D10)</x:f>
        <x:v>0.9019279600381659</x:v>
      </x:c>
      <x:c r="F10" s="44" t="n">
        <x:f>1+COUNTIFS($A$5:$A$28,A10,$E$5:$E$28,"&gt;"&amp;E10)</x:f>
        <x:v>1</x:v>
      </x:c>
      <x:c r="G10" s="44" t="n">
        <x:v>1</x:v>
      </x:c>
      <x:c r="H10" s="44" t="n">
        <x:f>F10-G10</x:f>
        <x:v>0</x:v>
      </x:c>
      <x:c r="J10" s="117" t="n">
        <x:v>2</x:v>
      </x:c>
      <x:c r="K10" s="118" t="n">
        <x:f>'Penalty Sensitivity'!E26</x:f>
        <x:v>0.8836613654807032</x:v>
      </x:c>
      <x:c r="L10" s="118" t="n">
        <x:f>'Penalty Sensitivity'!E28</x:f>
        <x:v>0.7886363890941387</x:v>
      </x:c>
      <x:c r="M10" s="118" t="n">
        <x:f>'Penalty Sensitivity'!E25</x:f>
        <x:v>0.7123005403533573</x:v>
      </x:c>
      <x:c r="N10" s="118" t="n">
        <x:f>'Penalty Sensitivity'!E27</x:f>
        <x:v>0.5955400081959689</x:v>
      </x:c>
    </x:row>
    <x:row r="11" ht="15" hidden="0" customHeight="1">
      <x:c r="A11" s="117" t="n">
        <x:v>0.25</x:v>
      </x:c>
      <x:c r="B11" s="15" t="str">
        <x:v>Llama 3.1-8B</x:v>
      </x:c>
      <x:c r="C11" s="116" t="n">
        <x:v>0.6470048226615187</x:v>
      </x:c>
      <x:c r="D11" s="116" t="n">
        <x:v>0.0414425888040692</x:v>
      </x:c>
      <x:c r="E11" s="116" t="n">
        <x:f>C11*EXP(-A11*D11)</x:f>
        <x:v>0.6403360400622781</x:v>
      </x:c>
      <x:c r="F11" s="44" t="n">
        <x:f>1+COUNTIFS($A$5:$A$28,A11,$E$5:$E$28,"&gt;"&amp;E11)</x:f>
        <x:v>4</x:v>
      </x:c>
      <x:c r="G11" s="44" t="n">
        <x:v>4</x:v>
      </x:c>
      <x:c r="H11" s="44" t="n">
        <x:f>F11-G11</x:f>
        <x:v>0</x:v>
      </x:c>
    </x:row>
    <x:row r="12" ht="15" hidden="0" customHeight="1">
      <x:c r="A12" s="117" t="n">
        <x:v>0.25</x:v>
      </x:c>
      <x:c r="B12" s="15" t="str">
        <x:v>Qwen2.5-7B</x:v>
      </x:c>
      <x:c r="C12" s="116" t="n">
        <x:v>0.819355906476112</x:v>
      </x:c>
      <x:c r="D12" s="116" t="n">
        <x:v>0.0191065937013491</x:v>
      </x:c>
      <x:c r="E12" s="116" t="n">
        <x:f>C12*EXP(-A12*D12)</x:f>
        <x:v>0.8154514638742196</x:v>
      </x:c>
      <x:c r="F12" s="44" t="n">
        <x:f>1+COUNTIFS($A$5:$A$28,A12,$E$5:$E$28,"&gt;"&amp;E12)</x:f>
        <x:v>2</x:v>
      </x:c>
      <x:c r="G12" s="44" t="n">
        <x:v>2</x:v>
      </x:c>
      <x:c r="H12" s="44" t="n">
        <x:f>F12-G12</x:f>
        <x:v>0</x:v>
      </x:c>
    </x:row>
    <x:row r="13" ht="15" hidden="0" customHeight="1">
      <x:c r="A13" s="117" t="n">
        <x:v>0.5</x:v>
      </x:c>
      <x:c r="B13" s="15" t="str">
        <x:v>Claude Haiku 4.5</x:v>
      </x:c>
      <x:c r="C13" s="116" t="n">
        <x:v>0.7729358469773219</x:v>
      </x:c>
      <x:c r="D13" s="116" t="n">
        <x:v>0.0408480616441815</x:v>
      </x:c>
      <x:c r="E13" s="116" t="n">
        <x:f>C13*EXP(-A13*D13)</x:f>
        <x:v>0.7573095010955196</x:v>
      </x:c>
      <x:c r="F13" s="44" t="n">
        <x:f>1+COUNTIFS($A$5:$A$28,A13,$E$5:$E$28,"&gt;"&amp;E13)</x:f>
        <x:v>3</x:v>
      </x:c>
      <x:c r="G13" s="44" t="n">
        <x:v>3</x:v>
      </x:c>
      <x:c r="H13" s="44" t="n">
        <x:f>F13-G13</x:f>
        <x:v>0</x:v>
      </x:c>
    </x:row>
    <x:row r="14" ht="15" hidden="0" customHeight="1">
      <x:c r="A14" s="117" t="n">
        <x:v>0.5</x:v>
      </x:c>
      <x:c r="B14" s="15" t="str">
        <x:v>GPT-4.1-mini</x:v>
      </x:c>
      <x:c r="C14" s="116" t="n">
        <x:v>0.9045681175206122</x:v>
      </x:c>
      <x:c r="D14" s="116" t="n">
        <x:v>0.011691846530842</x:v>
      </x:c>
      <x:c r="E14" s="116" t="n">
        <x:f>C14*EXP(-A14*D14)</x:f>
        <x:v>0.8992955083673628</x:v>
      </x:c>
      <x:c r="F14" s="44" t="n">
        <x:f>1+COUNTIFS($A$5:$A$28,A14,$E$5:$E$28,"&gt;"&amp;E14)</x:f>
        <x:v>1</x:v>
      </x:c>
      <x:c r="G14" s="44" t="n">
        <x:v>1</x:v>
      </x:c>
      <x:c r="H14" s="44" t="n">
        <x:f>F14-G14</x:f>
        <x:v>0</x:v>
      </x:c>
    </x:row>
    <x:row r="15" ht="15" hidden="0" customHeight="1">
      <x:c r="A15" s="117" t="n">
        <x:v>0.5</x:v>
      </x:c>
      <x:c r="B15" s="15" t="str">
        <x:v>Llama 3.1-8B</x:v>
      </x:c>
      <x:c r="C15" s="116" t="n">
        <x:v>0.6470048226615187</x:v>
      </x:c>
      <x:c r="D15" s="116" t="n">
        <x:v>0.0414425888040692</x:v>
      </x:c>
      <x:c r="E15" s="116" t="n">
        <x:f>C15*EXP(-A15*D15)</x:f>
        <x:v>0.63373599367612</x:v>
      </x:c>
      <x:c r="F15" s="44" t="n">
        <x:f>1+COUNTIFS($A$5:$A$28,A15,$E$5:$E$28,"&gt;"&amp;E15)</x:f>
        <x:v>4</x:v>
      </x:c>
      <x:c r="G15" s="44" t="n">
        <x:v>4</x:v>
      </x:c>
      <x:c r="H15" s="44" t="n">
        <x:f>F15-G15</x:f>
        <x:v>0</x:v>
      </x:c>
    </x:row>
    <x:row r="16" ht="15" hidden="0" customHeight="1">
      <x:c r="A16" s="117" t="n">
        <x:v>0.5</x:v>
      </x:c>
      <x:c r="B16" s="15" t="str">
        <x:v>Qwen2.5-7B</x:v>
      </x:c>
      <x:c r="C16" s="116" t="n">
        <x:v>0.819355906476112</x:v>
      </x:c>
      <x:c r="D16" s="116" t="n">
        <x:v>0.0191065937013491</x:v>
      </x:c>
      <x:c r="E16" s="116" t="n">
        <x:f>C16*EXP(-A16*D16)</x:f>
        <x:v>0.8115656269501664</x:v>
      </x:c>
      <x:c r="F16" s="44" t="n">
        <x:f>1+COUNTIFS($A$5:$A$28,A16,$E$5:$E$28,"&gt;"&amp;E16)</x:f>
        <x:v>2</x:v>
      </x:c>
      <x:c r="G16" s="44" t="n">
        <x:v>2</x:v>
      </x:c>
      <x:c r="H16" s="44" t="n">
        <x:f>F16-G16</x:f>
        <x:v>0</x:v>
      </x:c>
    </x:row>
    <x:row r="17" ht="15" hidden="0" customHeight="1">
      <x:c r="A17" s="117" t="n">
        <x:v>1</x:v>
      </x:c>
      <x:c r="B17" s="15" t="str">
        <x:v>Claude Haiku 4.5</x:v>
      </x:c>
      <x:c r="C17" s="116" t="n">
        <x:v>0.7729358469773219</x:v>
      </x:c>
      <x:c r="D17" s="116" t="n">
        <x:v>0.0408480616441815</x:v>
      </x:c>
      <x:c r="E17" s="116" t="n">
        <x:f>C17*EXP(-A17*D17)</x:f>
        <x:v>0.7419990710643958</x:v>
      </x:c>
      <x:c r="F17" s="44" t="n">
        <x:f>1+COUNTIFS($A$5:$A$28,A17,$E$5:$E$28,"&gt;"&amp;E17)</x:f>
        <x:v>3</x:v>
      </x:c>
      <x:c r="G17" s="44" t="n">
        <x:v>3</x:v>
      </x:c>
      <x:c r="H17" s="44" t="n">
        <x:f>F17-G17</x:f>
        <x:v>0</x:v>
      </x:c>
    </x:row>
    <x:row r="18" ht="15" hidden="0" customHeight="1">
      <x:c r="A18" s="117" t="n">
        <x:v>1</x:v>
      </x:c>
      <x:c r="B18" s="15" t="str">
        <x:v>GPT-4.1-mini</x:v>
      </x:c>
      <x:c r="C18" s="116" t="n">
        <x:v>0.9045681175206122</x:v>
      </x:c>
      <x:c r="D18" s="116" t="n">
        <x:v>0.011691846530842</x:v>
      </x:c>
      <x:c r="E18" s="116" t="n">
        <x:f>C18*EXP(-A18*D18)</x:f>
        <x:v>0.8940536325627078</x:v>
      </x:c>
      <x:c r="F18" s="44" t="n">
        <x:f>1+COUNTIFS($A$5:$A$28,A18,$E$5:$E$28,"&gt;"&amp;E18)</x:f>
        <x:v>1</x:v>
      </x:c>
      <x:c r="G18" s="44" t="n">
        <x:v>1</x:v>
      </x:c>
      <x:c r="H18" s="44" t="n">
        <x:f>F18-G18</x:f>
        <x:v>0</x:v>
      </x:c>
    </x:row>
    <x:row r="19" ht="15" hidden="0" customHeight="1">
      <x:c r="A19" s="117" t="n">
        <x:v>1</x:v>
      </x:c>
      <x:c r="B19" s="15" t="str">
        <x:v>Llama 3.1-8B</x:v>
      </x:c>
      <x:c r="C19" s="116" t="n">
        <x:v>0.6470048226615187</x:v>
      </x:c>
      <x:c r="D19" s="116" t="n">
        <x:v>0.0414425888040692</x:v>
      </x:c>
      <x:c r="E19" s="116" t="n">
        <x:f>C19*EXP(-A19*D19)</x:f>
        <x:v>0.6207392829446774</x:v>
      </x:c>
      <x:c r="F19" s="44" t="n">
        <x:f>1+COUNTIFS($A$5:$A$28,A19,$E$5:$E$28,"&gt;"&amp;E19)</x:f>
        <x:v>4</x:v>
      </x:c>
      <x:c r="G19" s="44" t="n">
        <x:v>4</x:v>
      </x:c>
      <x:c r="H19" s="44" t="n">
        <x:f>F19-G19</x:f>
        <x:v>0</x:v>
      </x:c>
    </x:row>
    <x:row r="20" ht="15" hidden="0" customHeight="1">
      <x:c r="A20" s="117" t="n">
        <x:v>1</x:v>
      </x:c>
      <x:c r="B20" s="15" t="str">
        <x:v>Qwen2.5-7B</x:v>
      </x:c>
      <x:c r="C20" s="116" t="n">
        <x:v>0.819355906476112</x:v>
      </x:c>
      <x:c r="D20" s="116" t="n">
        <x:v>0.0191065937013491</x:v>
      </x:c>
      <x:c r="E20" s="116" t="n">
        <x:f>C20*EXP(-A20*D20)</x:f>
        <x:v>0.8038494159146201</x:v>
      </x:c>
      <x:c r="F20" s="44" t="n">
        <x:f>1+COUNTIFS($A$5:$A$28,A20,$E$5:$E$28,"&gt;"&amp;E20)</x:f>
        <x:v>2</x:v>
      </x:c>
      <x:c r="G20" s="44" t="n">
        <x:v>2</x:v>
      </x:c>
      <x:c r="H20" s="44" t="n">
        <x:f>F20-G20</x:f>
        <x:v>0</x:v>
      </x:c>
    </x:row>
    <x:row r="21" ht="15" hidden="0" customHeight="1">
      <x:c r="A21" s="117" t="n">
        <x:v>1.5</x:v>
      </x:c>
      <x:c r="B21" s="15" t="str">
        <x:v>Claude Haiku 4.5</x:v>
      </x:c>
      <x:c r="C21" s="116" t="n">
        <x:v>0.7729358469773219</x:v>
      </x:c>
      <x:c r="D21" s="116" t="n">
        <x:v>0.0408480616441815</x:v>
      </x:c>
      <x:c r="E21" s="116" t="n">
        <x:f>C21*EXP(-A21*D21)</x:f>
        <x:v>0.7269981700533079</x:v>
      </x:c>
      <x:c r="F21" s="44" t="n">
        <x:f>1+COUNTIFS($A$5:$A$28,A21,$E$5:$E$28,"&gt;"&amp;E21)</x:f>
        <x:v>3</x:v>
      </x:c>
      <x:c r="G21" s="44" t="n">
        <x:v>3</x:v>
      </x:c>
      <x:c r="H21" s="44" t="n">
        <x:f>F21-G21</x:f>
        <x:v>0</x:v>
      </x:c>
    </x:row>
    <x:row r="22" ht="15" hidden="0" customHeight="1">
      <x:c r="A22" s="117" t="n">
        <x:v>1.5</x:v>
      </x:c>
      <x:c r="B22" s="15" t="str">
        <x:v>GPT-4.1-mini</x:v>
      </x:c>
      <x:c r="C22" s="116" t="n">
        <x:v>0.9045681175206122</x:v>
      </x:c>
      <x:c r="D22" s="116" t="n">
        <x:v>0.011691846530842</x:v>
      </x:c>
      <x:c r="E22" s="116" t="n">
        <x:f>C22*EXP(-A22*D22)</x:f>
        <x:v>0.8888423109659808</x:v>
      </x:c>
      <x:c r="F22" s="44" t="n">
        <x:f>1+COUNTIFS($A$5:$A$28,A22,$E$5:$E$28,"&gt;"&amp;E22)</x:f>
        <x:v>1</x:v>
      </x:c>
      <x:c r="G22" s="44" t="n">
        <x:v>1</x:v>
      </x:c>
      <x:c r="H22" s="44" t="n">
        <x:f>F22-G22</x:f>
        <x:v>0</x:v>
      </x:c>
    </x:row>
    <x:row r="23" ht="15" hidden="0" customHeight="1">
      <x:c r="A23" s="117" t="n">
        <x:v>1.5</x:v>
      </x:c>
      <x:c r="B23" s="15" t="str">
        <x:v>Llama 3.1-8B</x:v>
      </x:c>
      <x:c r="C23" s="116" t="n">
        <x:v>0.6470048226615187</x:v>
      </x:c>
      <x:c r="D23" s="116" t="n">
        <x:v>0.0414425888040692</x:v>
      </x:c>
      <x:c r="E23" s="116" t="n">
        <x:f>C23*EXP(-A23*D23)</x:f>
        <x:v>0.6080091098432926</x:v>
      </x:c>
      <x:c r="F23" s="44" t="n">
        <x:f>1+COUNTIFS($A$5:$A$28,A23,$E$5:$E$28,"&gt;"&amp;E23)</x:f>
        <x:v>4</x:v>
      </x:c>
      <x:c r="G23" s="44" t="n">
        <x:v>4</x:v>
      </x:c>
      <x:c r="H23" s="44" t="n">
        <x:f>F23-G23</x:f>
        <x:v>0</x:v>
      </x:c>
    </x:row>
    <x:row r="24" ht="15" hidden="0" customHeight="1">
      <x:c r="A24" s="117" t="n">
        <x:v>1.5</x:v>
      </x:c>
      <x:c r="B24" s="15" t="str">
        <x:v>Qwen2.5-7B</x:v>
      </x:c>
      <x:c r="C24" s="116" t="n">
        <x:v>0.819355906476112</x:v>
      </x:c>
      <x:c r="D24" s="116" t="n">
        <x:v>0.0191065937013491</x:v>
      </x:c>
      <x:c r="E24" s="116" t="n">
        <x:f>C24*EXP(-A24*D24)</x:f>
        <x:v>0.7962065691404075</x:v>
      </x:c>
      <x:c r="F24" s="44" t="n">
        <x:f>1+COUNTIFS($A$5:$A$28,A24,$E$5:$E$28,"&gt;"&amp;E24)</x:f>
        <x:v>2</x:v>
      </x:c>
      <x:c r="G24" s="44" t="n">
        <x:v>2</x:v>
      </x:c>
      <x:c r="H24" s="44" t="n">
        <x:f>F24-G24</x:f>
        <x:v>0</x:v>
      </x:c>
    </x:row>
    <x:row r="25" ht="15" hidden="0" customHeight="1">
      <x:c r="A25" s="117" t="n">
        <x:v>2</x:v>
      </x:c>
      <x:c r="B25" s="15" t="str">
        <x:v>Claude Haiku 4.5</x:v>
      </x:c>
      <x:c r="C25" s="116" t="n">
        <x:v>0.7729358469773219</x:v>
      </x:c>
      <x:c r="D25" s="116" t="n">
        <x:v>0.0408480616441815</x:v>
      </x:c>
      <x:c r="E25" s="116" t="n">
        <x:f>C25*EXP(-A25*D25)</x:f>
        <x:v>0.7123005403533573</x:v>
      </x:c>
      <x:c r="F25" s="44" t="n">
        <x:f>1+COUNTIFS($A$5:$A$28,A25,$E$5:$E$28,"&gt;"&amp;E25)</x:f>
        <x:v>3</x:v>
      </x:c>
      <x:c r="G25" s="44" t="n">
        <x:v>3</x:v>
      </x:c>
      <x:c r="H25" s="44" t="n">
        <x:f>F25-G25</x:f>
        <x:v>0</x:v>
      </x:c>
    </x:row>
    <x:row r="26" ht="15" hidden="0" customHeight="1">
      <x:c r="A26" s="117" t="n">
        <x:v>2</x:v>
      </x:c>
      <x:c r="B26" s="15" t="str">
        <x:v>GPT-4.1-mini</x:v>
      </x:c>
      <x:c r="C26" s="116" t="n">
        <x:v>0.9045681175206122</x:v>
      </x:c>
      <x:c r="D26" s="116" t="n">
        <x:v>0.011691846530842</x:v>
      </x:c>
      <x:c r="E26" s="116" t="n">
        <x:f>C26*EXP(-A26*D26)</x:f>
        <x:v>0.8836613654807032</x:v>
      </x:c>
      <x:c r="F26" s="44" t="n">
        <x:f>1+COUNTIFS($A$5:$A$28,A26,$E$5:$E$28,"&gt;"&amp;E26)</x:f>
        <x:v>1</x:v>
      </x:c>
      <x:c r="G26" s="44" t="n">
        <x:v>1</x:v>
      </x:c>
      <x:c r="H26" s="44" t="n">
        <x:f>F26-G26</x:f>
        <x:v>0</x:v>
      </x:c>
    </x:row>
    <x:row r="27" ht="15" hidden="0" customHeight="1">
      <x:c r="A27" s="117" t="n">
        <x:v>2</x:v>
      </x:c>
      <x:c r="B27" s="15" t="str">
        <x:v>Llama 3.1-8B</x:v>
      </x:c>
      <x:c r="C27" s="116" t="n">
        <x:v>0.6470048226615187</x:v>
      </x:c>
      <x:c r="D27" s="116" t="n">
        <x:v>0.0414425888040692</x:v>
      </x:c>
      <x:c r="E27" s="116" t="n">
        <x:f>C27*EXP(-A27*D27)</x:f>
        <x:v>0.5955400081959689</x:v>
      </x:c>
      <x:c r="F27" s="44" t="n">
        <x:f>1+COUNTIFS($A$5:$A$28,A27,$E$5:$E$28,"&gt;"&amp;E27)</x:f>
        <x:v>4</x:v>
      </x:c>
      <x:c r="G27" s="44" t="n">
        <x:v>4</x:v>
      </x:c>
      <x:c r="H27" s="44" t="n">
        <x:f>F27-G27</x:f>
        <x:v>0</x:v>
      </x:c>
    </x:row>
    <x:row r="28" ht="15" hidden="0" customHeight="1">
      <x:c r="A28" s="117" t="n">
        <x:v>2</x:v>
      </x:c>
      <x:c r="B28" s="15" t="str">
        <x:v>Qwen2.5-7B</x:v>
      </x:c>
      <x:c r="C28" s="116" t="n">
        <x:v>0.819355906476112</x:v>
      </x:c>
      <x:c r="D28" s="116" t="n">
        <x:v>0.0191065937013491</x:v>
      </x:c>
      <x:c r="E28" s="116" t="n">
        <x:f>C28*EXP(-A28*D28)</x:f>
        <x:v>0.7886363890941387</x:v>
      </x:c>
      <x:c r="F28" s="44" t="n">
        <x:f>1+COUNTIFS($A$5:$A$28,A28,$E$5:$E$28,"&gt;"&amp;E28)</x:f>
        <x:v>2</x:v>
      </x:c>
      <x:c r="G28" s="44" t="n">
        <x:v>2</x:v>
      </x:c>
      <x:c r="H28" s="44" t="n">
        <x:f>F28-G28</x:f>
        <x:v>0</x:v>
      </x:c>
    </x:row>
  </x:sheetData>
  <x:mergeCells>
    <x:mergeCell ref="A1:H1"/>
    <x:mergeCell ref="A2:H2"/>
  </x:mergeCells>
  <x:pageMargins left="0.7" right="0.7" top="0.75" bottom="0.75" header="0.3" footer="0.3"/>
  <x:drawing xmlns:r="http://schemas.openxmlformats.org/officeDocument/2006/relationships" r:id="R17064369d5ba416b"/>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13" hidden="0" customWidth="1"/>
    <x:col min="4" max="4" width="14" hidden="0" customWidth="1"/>
    <x:col min="5" max="5" width="13" hidden="0" customWidth="1"/>
    <x:col min="6" max="6" width="14" hidden="0" customWidth="1"/>
    <x:col min="7" max="7" width="15" hidden="0" customWidth="1"/>
    <x:col min="8" max="8" width="13" hidden="0" customWidth="1"/>
  </x:cols>
  <x:sheetData>
    <x:row r="1" ht="21.600000381469727" hidden="0" customHeight="1">
      <x:c r="A1" s="80" t="str">
        <x:v>Analytical penalty crossovers</x:v>
      </x:c>
      <x:c r="B1" s="80" t="str">
        <x:v>Analytical penalty crossovers</x:v>
      </x:c>
      <x:c r="C1" s="80" t="str">
        <x:v>Analytical penalty crossovers</x:v>
      </x:c>
      <x:c r="D1" s="80" t="str">
        <x:v>Analytical penalty crossovers</x:v>
      </x:c>
      <x:c r="E1" s="80" t="str">
        <x:v>Analytical penalty crossovers</x:v>
      </x:c>
      <x:c r="F1" s="80" t="str">
        <x:v>Analytical penalty crossovers</x:v>
      </x:c>
      <x:c r="G1" s="80" t="str">
        <x:v>Analytical penalty crossovers</x:v>
      </x:c>
      <x:c r="H1" s="80" t="str">
        <x:v>Analytical penalty crossovers</x:v>
      </x:c>
    </x:row>
    <x:row r="2" ht="15" hidden="0" customHeight="1">
      <x:c r="A2" s="6" t="str">
        <x:v>A crossover solves Bᵢ exp(−λSᵢ) = Bⱼ exp(−λSⱼ). Negative values imply no rank reversal for λ ≥ 0.</x:v>
      </x:c>
      <x:c r="B2" s="6" t="str">
        <x:v>A crossover solves Bᵢ exp(−λSᵢ) = Bⱼ exp(−λSⱼ). Negative values imply no rank reversal for λ ≥ 0.</x:v>
      </x:c>
      <x:c r="C2" s="6" t="str">
        <x:v>A crossover solves Bᵢ exp(−λSᵢ) = Bⱼ exp(−λSⱼ). Negative values imply no rank reversal for λ ≥ 0.</x:v>
      </x:c>
      <x:c r="D2" s="6" t="str">
        <x:v>A crossover solves Bᵢ exp(−λSᵢ) = Bⱼ exp(−λSⱼ). Negative values imply no rank reversal for λ ≥ 0.</x:v>
      </x:c>
      <x:c r="E2" s="6" t="str">
        <x:v>A crossover solves Bᵢ exp(−λSᵢ) = Bⱼ exp(−λSⱼ). Negative values imply no rank reversal for λ ≥ 0.</x:v>
      </x:c>
      <x:c r="F2" s="6" t="str">
        <x:v>A crossover solves Bᵢ exp(−λSᵢ) = Bⱼ exp(−λSⱼ). Negative values imply no rank reversal for λ ≥ 0.</x:v>
      </x:c>
      <x:c r="G2" s="6" t="str">
        <x:v>A crossover solves Bᵢ exp(−λSᵢ) = Bⱼ exp(−λSⱼ). Negative values imply no rank reversal for λ ≥ 0.</x:v>
      </x:c>
      <x:c r="H2" s="6" t="str">
        <x:v>A crossover solves Bᵢ exp(−λSᵢ) = Bⱼ exp(−λSⱼ). Negative values imply no rank reversal for λ ≥ 0.</x:v>
      </x:c>
    </x:row>
    <x:row r="3"/>
    <x:row r="4" ht="15" hidden="0" customHeight="1">
      <x:c r="A4" s="11" t="str">
        <x:v>Model 1</x:v>
      </x:c>
      <x:c r="B4" s="11" t="str">
        <x:v>Model 2</x:v>
      </x:c>
      <x:c r="C4" s="11" t="str">
        <x:v>Baseline 1</x:v>
      </x:c>
      <x:c r="D4" s="11" t="str">
        <x:v>Sensitivity 1</x:v>
      </x:c>
      <x:c r="E4" s="11" t="str">
        <x:v>Baseline 2</x:v>
      </x:c>
      <x:c r="F4" s="11" t="str">
        <x:v>Sensitivity 2</x:v>
      </x:c>
      <x:c r="G4" s="11" t="str">
        <x:v>λ crossover</x:v>
      </x:c>
      <x:c r="H4" s="11" t="str">
        <x:v>Within 0–2</x:v>
      </x:c>
    </x:row>
    <x:row r="5" ht="15" hidden="0" customHeight="1">
      <x:c r="A5" s="15" t="str">
        <x:v>GPT-4.1-mini</x:v>
      </x:c>
      <x:c r="B5" s="15" t="str">
        <x:v>Qwen2.5-7B</x:v>
      </x:c>
      <x:c r="C5" s="116" t="n">
        <x:v>0.9045681175206122</x:v>
      </x:c>
      <x:c r="D5" s="116" t="n">
        <x:v>0.011691846530842</x:v>
      </x:c>
      <x:c r="E5" s="116" t="n">
        <x:v>0.819355906476112</x:v>
      </x:c>
      <x:c r="F5" s="116" t="n">
        <x:v>0.0191065937013491</x:v>
      </x:c>
      <x:c r="G5" s="116" t="n">
        <x:f>LN(C5/E5)/(D5-F5)</x:f>
        <x:v>-13.343551386244036</x:v>
      </x:c>
      <x:c r="H5" s="15" t="b">
        <x:f>AND(G5&gt;=0,G5&lt;=2)</x:f>
        <x:v>0</x:v>
      </x:c>
    </x:row>
    <x:row r="6" ht="15" hidden="0" customHeight="1">
      <x:c r="A6" s="15" t="str">
        <x:v>GPT-4.1-mini</x:v>
      </x:c>
      <x:c r="B6" s="15" t="str">
        <x:v>Claude Haiku 4.5</x:v>
      </x:c>
      <x:c r="C6" s="116" t="n">
        <x:v>0.9045681175206122</x:v>
      </x:c>
      <x:c r="D6" s="116" t="n">
        <x:v>0.011691846530842</x:v>
      </x:c>
      <x:c r="E6" s="116" t="n">
        <x:v>0.7729358469773219</x:v>
      </x:c>
      <x:c r="F6" s="116" t="n">
        <x:v>0.0408480616441815</x:v>
      </x:c>
      <x:c r="G6" s="116" t="n">
        <x:f>LN(C6/E6)/(D6-F6)</x:f>
        <x:v>-5.393757663622691</x:v>
      </x:c>
      <x:c r="H6" s="15" t="b">
        <x:f>AND(G6&gt;=0,G6&lt;=2)</x:f>
        <x:v>0</x:v>
      </x:c>
    </x:row>
    <x:row r="7" ht="15" hidden="0" customHeight="1">
      <x:c r="A7" s="15" t="str">
        <x:v>GPT-4.1-mini</x:v>
      </x:c>
      <x:c r="B7" s="15" t="str">
        <x:v>Llama 3.1-8B</x:v>
      </x:c>
      <x:c r="C7" s="116" t="n">
        <x:v>0.9045681175206122</x:v>
      </x:c>
      <x:c r="D7" s="116" t="n">
        <x:v>0.011691846530842</x:v>
      </x:c>
      <x:c r="E7" s="116" t="n">
        <x:v>0.6470048226615187</x:v>
      </x:c>
      <x:c r="F7" s="116" t="n">
        <x:v>0.0414425888040692</x:v>
      </x:c>
      <x:c r="G7" s="116" t="n">
        <x:f>LN(C7/E7)/(D7-F7)</x:f>
        <x:v>-11.263714368984267</x:v>
      </x:c>
      <x:c r="H7" s="15" t="b">
        <x:f>AND(G7&gt;=0,G7&lt;=2)</x:f>
        <x:v>0</x:v>
      </x:c>
    </x:row>
    <x:row r="8" ht="15" hidden="0" customHeight="1">
      <x:c r="A8" s="15" t="str">
        <x:v>Qwen2.5-7B</x:v>
      </x:c>
      <x:c r="B8" s="15" t="str">
        <x:v>Claude Haiku 4.5</x:v>
      </x:c>
      <x:c r="C8" s="116" t="n">
        <x:v>0.819355906476112</x:v>
      </x:c>
      <x:c r="D8" s="116" t="n">
        <x:v>0.0191065937013491</x:v>
      </x:c>
      <x:c r="E8" s="116" t="n">
        <x:v>0.7729358469773219</x:v>
      </x:c>
      <x:c r="F8" s="116" t="n">
        <x:v>0.0408480616441815</x:v>
      </x:c>
      <x:c r="G8" s="116" t="n">
        <x:f>LN(C8/E8)/(D8-F8)</x:f>
        <x:v>-2.682546504104159</x:v>
      </x:c>
      <x:c r="H8" s="15" t="b">
        <x:f>AND(G8&gt;=0,G8&lt;=2)</x:f>
        <x:v>0</x:v>
      </x:c>
    </x:row>
    <x:row r="9" ht="15" hidden="0" customHeight="1">
      <x:c r="A9" s="15" t="str">
        <x:v>Qwen2.5-7B</x:v>
      </x:c>
      <x:c r="B9" s="15" t="str">
        <x:v>Llama 3.1-8B</x:v>
      </x:c>
      <x:c r="C9" s="116" t="n">
        <x:v>0.819355906476112</x:v>
      </x:c>
      <x:c r="D9" s="116" t="n">
        <x:v>0.0191065937013491</x:v>
      </x:c>
      <x:c r="E9" s="116" t="n">
        <x:v>0.6470048226615187</x:v>
      </x:c>
      <x:c r="F9" s="116" t="n">
        <x:v>0.0414425888040692</x:v>
      </x:c>
      <x:c r="G9" s="116" t="n">
        <x:f>LN(C9/E9)/(D9-F9)</x:f>
        <x:v>-10.573283270306032</x:v>
      </x:c>
      <x:c r="H9" s="15" t="b">
        <x:f>AND(G9&gt;=0,G9&lt;=2)</x:f>
        <x:v>0</x:v>
      </x:c>
    </x:row>
    <x:row r="10" ht="15" hidden="0" customHeight="1">
      <x:c r="A10" s="15" t="str">
        <x:v>Claude Haiku 4.5</x:v>
      </x:c>
      <x:c r="B10" s="15" t="str">
        <x:v>Llama 3.1-8B</x:v>
      </x:c>
      <x:c r="C10" s="116" t="n">
        <x:v>0.7729358469773219</x:v>
      </x:c>
      <x:c r="D10" s="116" t="n">
        <x:v>0.0408480616441815</x:v>
      </x:c>
      <x:c r="E10" s="116" t="n">
        <x:v>0.6470048226615187</x:v>
      </x:c>
      <x:c r="F10" s="116" t="n">
        <x:v>0.0414425888040692</x:v>
      </x:c>
      <x:c r="G10" s="116" t="n">
        <x:f>LN(C10/E10)/(D10-F10)</x:f>
        <x:v>-299.1323467117657</x:v>
      </x:c>
      <x:c r="H10" s="15" t="b">
        <x:f>AND(G10&gt;=0,G10&lt;=2)</x:f>
        <x:v>0</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14" hidden="0" customWidth="1"/>
    <x:col min="3" max="3" width="14" hidden="0" customWidth="1"/>
    <x:col min="4" max="4" width="12" hidden="0" customWidth="1"/>
    <x:col min="5" max="5" width="14" hidden="0" customWidth="1"/>
    <x:col min="6" max="6" width="14" hidden="0" customWidth="1"/>
    <x:col min="7" max="7" width="12" hidden="0" customWidth="1"/>
    <x:col min="8" max="8" width="14" hidden="0" customWidth="1"/>
    <x:col min="9" max="9" width="14" hidden="0" customWidth="1"/>
    <x:col min="10" max="10" width="12" hidden="0" customWidth="1"/>
    <x:col min="11" max="11" width="15" hidden="0" customWidth="1"/>
    <x:col min="12" max="12" width="15" hidden="0" customWidth="1"/>
  </x:cols>
  <x:sheetData>
    <x:row r="1" ht="21.600000381469727" hidden="0" customHeight="1">
      <x:c r="A1" s="80" t="str">
        <x:v>Estimator validation and model diagnostics</x:v>
      </x:c>
      <x:c r="B1" s="80" t="str">
        <x:v>Estimator validation and model diagnostics</x:v>
      </x:c>
      <x:c r="C1" s="80" t="str">
        <x:v>Estimator validation and model diagnostics</x:v>
      </x:c>
      <x:c r="D1" s="80" t="str">
        <x:v>Estimator validation and model diagnostics</x:v>
      </x:c>
      <x:c r="E1" s="80" t="str">
        <x:v>Estimator validation and model diagnostics</x:v>
      </x:c>
      <x:c r="F1" s="80" t="str">
        <x:v>Estimator validation and model diagnostics</x:v>
      </x:c>
      <x:c r="G1" s="80" t="str">
        <x:v>Estimator validation and model diagnostics</x:v>
      </x:c>
      <x:c r="H1" s="80" t="str">
        <x:v>Estimator validation and model diagnostics</x:v>
      </x:c>
      <x:c r="I1" s="80" t="str">
        <x:v>Estimator validation and model diagnostics</x:v>
      </x:c>
      <x:c r="J1" s="80" t="str">
        <x:v>Estimator validation and model diagnostics</x:v>
      </x:c>
      <x:c r="K1" s="80" t="str">
        <x:v>Estimator validation and model diagnostics</x:v>
      </x:c>
      <x:c r="L1" s="80" t="str">
        <x:v>Estimator validation and model diagnostics</x:v>
      </x:c>
    </x:row>
    <x:row r="2" ht="15" hidden="0" customHeight="1">
      <x:c r="A2" s="6" t="str">
        <x:v>Quadrature-MAP full refit compared with the final converged variational-Bayes result</x:v>
      </x:c>
      <x:c r="B2" s="6" t="str">
        <x:v>Quadrature-MAP full refit compared with the final converged variational-Bayes result</x:v>
      </x:c>
      <x:c r="C2" s="6" t="str">
        <x:v>Quadrature-MAP full refit compared with the final converged variational-Bayes result</x:v>
      </x:c>
      <x:c r="D2" s="6" t="str">
        <x:v>Quadrature-MAP full refit compared with the final converged variational-Bayes result</x:v>
      </x:c>
      <x:c r="E2" s="6" t="str">
        <x:v>Quadrature-MAP full refit compared with the final converged variational-Bayes result</x:v>
      </x:c>
      <x:c r="F2" s="6" t="str">
        <x:v>Quadrature-MAP full refit compared with the final converged variational-Bayes result</x:v>
      </x:c>
      <x:c r="G2" s="6" t="str">
        <x:v>Quadrature-MAP full refit compared with the final converged variational-Bayes result</x:v>
      </x:c>
      <x:c r="H2" s="6" t="str">
        <x:v>Quadrature-MAP full refit compared with the final converged variational-Bayes result</x:v>
      </x:c>
      <x:c r="I2" s="6" t="str">
        <x:v>Quadrature-MAP full refit compared with the final converged variational-Bayes result</x:v>
      </x:c>
      <x:c r="J2" s="6" t="str">
        <x:v>Quadrature-MAP full refit compared with the final converged variational-Bayes result</x:v>
      </x:c>
      <x:c r="K2" s="6" t="str">
        <x:v>Quadrature-MAP full refit compared with the final converged variational-Bayes result</x:v>
      </x:c>
      <x:c r="L2" s="6" t="str">
        <x:v>Quadrature-MAP full refit compared with the final converged variational-Bayes result</x:v>
      </x:c>
    </x:row>
    <x:row r="3"/>
    <x:row r="4" ht="15" hidden="0" customHeight="1">
      <x:c r="A4" s="11" t="str">
        <x:v>Model</x:v>
      </x:c>
      <x:c r="B4" s="11" t="str">
        <x:v>MAP baseline</x:v>
      </x:c>
      <x:c r="C4" s="11" t="str">
        <x:v>VB baseline</x:v>
      </x:c>
      <x:c r="D4" s="11" t="str">
        <x:v>Abs. diff</x:v>
      </x:c>
      <x:c r="E4" s="11" t="str">
        <x:v>MAP safety</x:v>
      </x:c>
      <x:c r="F4" s="11" t="str">
        <x:v>VB safety</x:v>
      </x:c>
      <x:c r="G4" s="11" t="str">
        <x:v>Abs. diff</x:v>
      </x:c>
      <x:c r="H4" s="11" t="str">
        <x:v>MAP effect</x:v>
      </x:c>
      <x:c r="I4" s="11" t="str">
        <x:v>VB effect</x:v>
      </x:c>
      <x:c r="J4" s="11" t="str">
        <x:v>Abs. diff</x:v>
      </x:c>
      <x:c r="K4" s="11" t="str">
        <x:v>MAP sensitivity</x:v>
      </x:c>
      <x:c r="L4" s="11" t="str">
        <x:v>VB sensitivity</x:v>
      </x:c>
    </x:row>
    <x:row r="5" ht="15" hidden="0" customHeight="1">
      <x:c r="A5" s="15" t="str">
        <x:v>GPT-4.1-mini</x:v>
      </x:c>
      <x:c r="B5" s="119" t="n">
        <x:v>0.903126813340249</x:v>
      </x:c>
      <x:c r="C5" s="119" t="n">
        <x:v>0.9045681175206122</x:v>
      </x:c>
      <x:c r="D5" s="119" t="n">
        <x:f>ABS(B5-C5)</x:f>
        <x:v>0.0014413041803631454</x:v>
      </x:c>
      <x:c r="E5" s="119" t="n">
        <x:v>0.9149338010274439</x:v>
      </x:c>
      <x:c r="F5" s="119" t="n">
        <x:v>0.9162599640514544</x:v>
      </x:c>
      <x:c r="G5" s="119" t="n">
        <x:f>ABS(E5-F5)</x:f>
        <x:v>0.0013261630240104516</x:v>
      </x:c>
      <x:c r="H5" s="119" t="n">
        <x:v>0.011806987687194903</x:v>
      </x:c>
      <x:c r="I5" s="119" t="n">
        <x:v>0.011691846530842</x:v>
      </x:c>
      <x:c r="J5" s="119" t="n">
        <x:f>ABS(H5-I5)</x:f>
        <x:v>0.00011514115635290374</x:v>
      </x:c>
      <x:c r="K5" s="119" t="n">
        <x:v>0.011806987687194903</x:v>
      </x:c>
      <x:c r="L5" s="119" t="n">
        <x:v>0.011691846530842</x:v>
      </x:c>
    </x:row>
    <x:row r="6" ht="15" hidden="0" customHeight="1">
      <x:c r="A6" s="15" t="str">
        <x:v>Qwen2.5-7B</x:v>
      </x:c>
      <x:c r="B6" s="119" t="n">
        <x:v>0.8171848795257707</x:v>
      </x:c>
      <x:c r="C6" s="119" t="n">
        <x:v>0.819355906476112</x:v>
      </x:c>
      <x:c r="D6" s="119" t="n">
        <x:f>ABS(B6-C6)</x:f>
        <x:v>0.002171026950341326</x:v>
      </x:c>
      <x:c r="E6" s="119" t="n">
        <x:v>0.8363647326704614</x:v>
      </x:c>
      <x:c r="F6" s="119" t="n">
        <x:v>0.8384625001774612</x:v>
      </x:c>
      <x:c r="G6" s="119" t="n">
        <x:f>ABS(E6-F6)</x:f>
        <x:v>0.002097767506999748</x:v>
      </x:c>
      <x:c r="H6" s="119" t="n">
        <x:v>0.01917985314469073</x:v>
      </x:c>
      <x:c r="I6" s="119" t="n">
        <x:v>0.0191065937013491</x:v>
      </x:c>
      <x:c r="J6" s="119" t="n">
        <x:f>ABS(H6-I6)</x:f>
        <x:v>0.0000732594433416299</x:v>
      </x:c>
      <x:c r="K6" s="119" t="n">
        <x:v>0.01917985314469073</x:v>
      </x:c>
      <x:c r="L6" s="119" t="n">
        <x:v>0.0191065937013491</x:v>
      </x:c>
    </x:row>
    <x:row r="7" ht="15" hidden="0" customHeight="1">
      <x:c r="A7" s="15" t="str">
        <x:v>Claude Haiku 4.5</x:v>
      </x:c>
      <x:c r="B7" s="119" t="n">
        <x:v>0.7706242037712002</x:v>
      </x:c>
      <x:c r="C7" s="119" t="n">
        <x:v>0.7729358469773219</x:v>
      </x:c>
      <x:c r="D7" s="119" t="n">
        <x:f>ABS(B7-C7)</x:f>
        <x:v>0.0023116432061216496</x:v>
      </x:c>
      <x:c r="E7" s="119" t="n">
        <x:v>0.8116039173033645</x:v>
      </x:c>
      <x:c r="F7" s="119" t="n">
        <x:v>0.8137839086215034</x:v>
      </x:c>
      <x:c r="G7" s="119" t="n">
        <x:f>ABS(E7-F7)</x:f>
        <x:v>0.002179991318138952</x:v>
      </x:c>
      <x:c r="H7" s="119" t="n">
        <x:v>0.04097971353216423</x:v>
      </x:c>
      <x:c r="I7" s="119" t="n">
        <x:v>0.0408480616441815</x:v>
      </x:c>
      <x:c r="J7" s="119" t="n">
        <x:f>ABS(H7-I7)</x:f>
        <x:v>0.00013165188798273247</x:v>
      </x:c>
      <x:c r="K7" s="119" t="n">
        <x:v>0.04097971353216423</x:v>
      </x:c>
      <x:c r="L7" s="119" t="n">
        <x:v>0.0408480616441815</x:v>
      </x:c>
    </x:row>
    <x:row r="8" ht="15" hidden="0" customHeight="1">
      <x:c r="A8" s="15" t="str">
        <x:v>Llama 3.1-8B</x:v>
      </x:c>
      <x:c r="B8" s="119" t="n">
        <x:v>0.6451552163948617</x:v>
      </x:c>
      <x:c r="C8" s="119" t="n">
        <x:v>0.6470048226615187</x:v>
      </x:c>
      <x:c r="D8" s="119" t="n">
        <x:f>ABS(B8-C8)</x:f>
        <x:v>0.001849606266656978</x:v>
      </x:c>
      <x:c r="E8" s="119" t="n">
        <x:v>0.6863299250360401</x:v>
      </x:c>
      <x:c r="F8" s="119" t="n">
        <x:v>0.688447411465588</x:v>
      </x:c>
      <x:c r="G8" s="119" t="n">
        <x:f>ABS(E8-F8)</x:f>
        <x:v>0.002117486429547899</x:v>
      </x:c>
      <x:c r="H8" s="119" t="n">
        <x:v>0.04117470864117834</x:v>
      </x:c>
      <x:c r="I8" s="119" t="n">
        <x:v>0.0414425888040692</x:v>
      </x:c>
      <x:c r="J8" s="119" t="n">
        <x:f>ABS(H8-I8)</x:f>
        <x:v>0.0002678801628908656</x:v>
      </x:c>
      <x:c r="K8" s="119" t="n">
        <x:v>0.04117470864117834</x:v>
      </x:c>
      <x:c r="L8" s="119" t="n">
        <x:v>0.0414425888040692</x:v>
      </x:c>
    </x:row>
    <x:row r="9"/>
    <x:row r="10"/>
    <x:row r="11" ht="15" hidden="0" customHeight="1">
      <x:c r="A11" s="11" t="str">
        <x:v>Scenario</x:v>
      </x:c>
      <x:c r="B11" s="11" t="str">
        <x:v>Converged</x:v>
      </x:c>
      <x:c r="C11" s="11" t="str">
        <x:v>Iterations</x:v>
      </x:c>
      <x:c r="D11" s="11" t="str">
        <x:v>Item SD</x:v>
      </x:c>
      <x:c r="F11" s="11" t="str">
        <x:v>Method and interpretation notes</x:v>
      </x:c>
      <x:c r="G11" s="11" t="str">
        <x:v>Method and interpretation notes</x:v>
      </x:c>
      <x:c r="H11" s="11" t="str">
        <x:v>Method and interpretation notes</x:v>
      </x:c>
      <x:c r="I11" s="11" t="str">
        <x:v>Method and interpretation notes</x:v>
      </x:c>
      <x:c r="J11" s="11" t="str">
        <x:v>Method and interpretation notes</x:v>
      </x:c>
      <x:c r="K11" s="11" t="str">
        <x:v>Method and interpretation notes</x:v>
      </x:c>
      <x:c r="L11" s="11" t="str">
        <x:v>Method and interpretation notes</x:v>
      </x:c>
    </x:row>
    <x:row r="12" ht="15" hidden="0" customHeight="1">
      <x:c r="A12" s="15" t="str">
        <x:v>All benchmarks</x:v>
      </x:c>
      <x:c r="B12" s="115" t="b">
        <x:v>1</x:v>
      </x:c>
      <x:c r="C12" s="15" t="n">
        <x:v>33</x:v>
      </x:c>
      <x:c r="D12" s="116" t="n">
        <x:v>2.2095138362201783</x:v>
      </x:c>
      <x:c r="F12" s="71"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G12" s="72"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H12" s="72"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I12" s="72"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J12" s="72"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K12" s="72"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L12" s="73"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row>
    <x:row r="13" ht="15" hidden="0" customHeight="1">
      <x:c r="A13" s="15" t="str">
        <x:v>Exclude BBQ</x:v>
      </x:c>
      <x:c r="B13" s="115" t="b">
        <x:v>1</x:v>
      </x:c>
      <x:c r="C13" s="15" t="n">
        <x:v>30</x:v>
      </x:c>
      <x:c r="D13" s="116" t="n">
        <x:v>2.5610626075859613</x:v>
      </x:c>
      <x:c r="F13" s="74"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G13"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H13"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I13"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J13"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K13"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L13" s="76"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row>
    <x:row r="14" ht="15" hidden="0" customHeight="1">
      <x:c r="A14" s="15" t="str">
        <x:v>Exclude StereoSet</x:v>
      </x:c>
      <x:c r="B14" s="115" t="b">
        <x:v>1</x:v>
      </x:c>
      <x:c r="C14" s="15" t="n">
        <x:v>26</x:v>
      </x:c>
      <x:c r="D14" s="116" t="n">
        <x:v>2.1708021612083885</x:v>
      </x:c>
      <x:c r="F14" s="74"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G14"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H14"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I14"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J14"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K14"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L14" s="76"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row>
    <x:row r="15" ht="15" hidden="0" customHeight="1">
      <x:c r="A15" s="15" t="str">
        <x:v>Exclude AdvGLUE</x:v>
      </x:c>
      <x:c r="B15" s="115" t="b">
        <x:v>1</x:v>
      </x:c>
      <x:c r="C15" s="15" t="n">
        <x:v>30</x:v>
      </x:c>
      <x:c r="D15" s="116" t="n">
        <x:v>2.277590444892209</x:v>
      </x:c>
      <x:c r="F15" s="74"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G15"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H15"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I15"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J15"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K15"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L15" s="76"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row>
    <x:row r="16" ht="15" hidden="0" customHeight="1">
      <x:c r="A16" s="15" t="str">
        <x:v>Exclude BOLD</x:v>
      </x:c>
      <x:c r="B16" s="115" t="b">
        <x:v>1</x:v>
      </x:c>
      <x:c r="C16" s="15" t="n">
        <x:v>26</x:v>
      </x:c>
      <x:c r="D16" s="116" t="n">
        <x:v>1.9137165494689683</x:v>
      </x:c>
      <x:c r="F16" s="74"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G16"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H16"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I16"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J16"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K16" s="75"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L16" s="76"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row>
    <x:row r="17" ht="15" hidden="0" customHeight="1">
      <x:c r="A17" s="15" t="str">
        <x:v>Exclude RTP</x:v>
      </x:c>
      <x:c r="B17" s="115" t="b">
        <x:v>1</x:v>
      </x:c>
      <x:c r="C17" s="15" t="n">
        <x:v>28</x:v>
      </x:c>
      <x:c r="D17" s="116" t="n">
        <x:v>2.2244845153035255</x:v>
      </x:c>
      <x:c r="F17" s="77"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G17" s="78"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H17" s="78"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I17" s="78"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J17" s="78"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K17" s="78"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c r="L17" s="79" t="str">
        <x:v>Specification: logit(P[favorable]) = model × condition + benchmark + item random intercept. LOBO refits use 15-point Gauss-Hermite quadrature with MAP priors matching the original fixed-effect and item-log-SD prior scales. All six fits converged. Full-refit agreement with the final VB estimates is within 0.00232 for baseline/safety reliability and 0.00027 for the condition effect, supporting estimator robustness. LOBO comparisons evaluate rank stability after construct deletion; absolute scores across different exclusions should not be treated as directly exchangeable.</x:v>
      </x:c>
    </x:row>
  </x:sheetData>
  <x:mergeCells>
    <x:mergeCell ref="A1:L1"/>
    <x:mergeCell ref="A2:L2"/>
    <x:mergeCell ref="F11:L11"/>
    <x:mergeCell ref="F12:L17"/>
  </x:mergeCells>
  <x:pageMargins left="0.7" right="0.7" top="0.75" bottom="0.75" header="0.3" footer="0.3"/>
</x:worksheet>
</file>