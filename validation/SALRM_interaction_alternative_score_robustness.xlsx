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c1d7d93fa2e41bb" /></Relationships>
</file>

<file path=xl/workbook.xml><?xml version="1.0" encoding="utf-8"?>
<x:workbook xmlns:x="http://schemas.openxmlformats.org/spreadsheetml/2006/main">
  <x:sheets>
    <x:sheet xmlns:r="http://schemas.openxmlformats.org/officeDocument/2006/relationships" name="Summary" sheetId="1" r:id="R92f3a299b12c442d"/>
    <x:sheet xmlns:r="http://schemas.openxmlformats.org/officeDocument/2006/relationships" name="Interaction Effects" sheetId="2" r:id="Rb3fba64f98c74260"/>
    <x:sheet xmlns:r="http://schemas.openxmlformats.org/officeDocument/2006/relationships" name="Alternative Scores" sheetId="3" r:id="R69d7025f9f09456f"/>
    <x:sheet xmlns:r="http://schemas.openxmlformats.org/officeDocument/2006/relationships" name="Pairwise Scores" sheetId="4" r:id="R3dfcf388219d4597"/>
    <x:sheet xmlns:r="http://schemas.openxmlformats.org/officeDocument/2006/relationships" name="Methods &amp; Validation" sheetId="5" r:id="R96a989987c854dc3"/>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0"/>
    <x:numFmt numFmtId="201" formatCode="0.00"/>
    <x:numFmt numFmtId="202" formatCode="0.00E+00"/>
    <x:numFmt numFmtId="203" formatCode="0.0%"/>
    <x:numFmt numFmtId="204" formatCode="0.000"/>
  </x:numFmts>
  <x:fonts count="12">
    <x:font>
      <x:sz val="11"/>
      <x:name val="Carlito"/>
    </x:font>
    <x:font>
      <x:b/>
      <x:sz val="18"/>
      <x:color rgb="FFFFFFFF"/>
      <x:name val="Carlito"/>
    </x:font>
    <x:font>
      <x:sz val="10"/>
      <x:color rgb="FF667788"/>
      <x:name val="Carlito"/>
    </x:font>
    <x:font>
      <x:b/>
      <x:sz val="11"/>
      <x:color rgb="FFFFFFFF"/>
      <x:name val="Carlito"/>
    </x:font>
    <x:font>
      <x:sz val="10"/>
      <x:color rgb="FF243447"/>
      <x:name val="Carlito"/>
    </x:font>
    <x:font>
      <x:sz val="11"/>
      <x:color rgb="FF243447"/>
      <x:name val="Carlito"/>
    </x:font>
    <x:font>
      <x:b/>
      <x:sz val="18"/>
      <x:color rgb="FFFFFFFF"/>
      <x:name val="Arial"/>
    </x:font>
    <x:font>
      <x:sz val="10"/>
      <x:color rgb="FF667788"/>
      <x:name val="Arial"/>
    </x:font>
    <x:font>
      <x:sz val="11"/>
      <x:name val="Arial"/>
    </x:font>
    <x:font>
      <x:b/>
      <x:sz val="11"/>
      <x:color rgb="FFFFFFFF"/>
      <x:name val="Arial"/>
    </x:font>
    <x:font>
      <x:sz val="10"/>
      <x:color rgb="FF243447"/>
      <x:name val="Arial"/>
    </x:font>
    <x:font>
      <x:sz val="11"/>
      <x:color rgb="FF243447"/>
      <x:name val="Arial"/>
    </x:font>
  </x:fonts>
  <x:fills count="9">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E2F0D9"/>
      </x:patternFill>
    </x:fill>
    <x:fill>
      <x:patternFill patternType="solid">
        <x:fgColor rgb="FF2F75B5"/>
      </x:patternFill>
    </x:fill>
    <x:fill>
      <x:patternFill patternType="solid">
        <x:fgColor rgb="FFFFF2CC"/>
      </x:patternFill>
    </x:fill>
    <x:fill>
      <x:patternFill patternType="solid">
        <x:fgColor rgb="FFF4F7FA"/>
      </x:patternFill>
    </x:fill>
    <x:fill>
      <x:patternFill patternType="solid">
        <x:fgColor rgb="FFFFFFFF"/>
      </x:patternFill>
    </x:fill>
  </x:fills>
  <x:borders count="16">
    <x:border/>
    <x:border>
      <x:left style="thin">
        <x:color rgb="FFC9D3DD"/>
      </x:left>
      <x:top style="thin">
        <x:color rgb="FFC9D3DD"/>
      </x:top>
      <x:bottom style="thin">
        <x:color rgb="FFC9D3DD"/>
      </x:bottom>
    </x:border>
    <x:border>
      <x:right style="thin">
        <x:color rgb="FFC9D3DD"/>
      </x:right>
      <x:top style="thin">
        <x:color rgb="FFC9D3DD"/>
      </x:top>
      <x:bottom style="thin">
        <x:color rgb="FFC9D3DD"/>
      </x:bottom>
    </x:border>
    <x:border>
      <x:right style="thin">
        <x:color rgb="FFC9D3DD"/>
      </x:right>
      <x:bottom style="thin">
        <x:color rgb="FFC9D3DD"/>
      </x:bottom>
    </x:border>
    <x:border>
      <x:left style="thin">
        <x:color rgb="FFC9D3DD"/>
      </x:left>
      <x:bottom style="thin">
        <x:color rgb="FFC9D3DD"/>
      </x:bottom>
    </x:border>
    <x:border>
      <x:right style="thin">
        <x:color rgb="FFC9D3DD"/>
      </x:right>
      <x:top style="thin">
        <x:color rgb="FFC9D3DD"/>
      </x:top>
    </x:border>
    <x:border>
      <x:left style="thin">
        <x:color rgb="FFC9D3DD"/>
      </x:left>
      <x:top style="thin">
        <x:color rgb="FFC9D3DD"/>
      </x:top>
    </x:border>
    <x:border>
      <x:top style="thin">
        <x:color rgb="FFC9D3DD"/>
      </x:top>
    </x:border>
    <x:border>
      <x:left style="thin">
        <x:color rgb="FFC9D3DD"/>
      </x:left>
    </x:border>
    <x:border>
      <x:right style="thin">
        <x:color rgb="FFC9D3DD"/>
      </x:right>
    </x:border>
    <x:border>
      <x:bottom style="thin">
        <x:color rgb="FFC9D3DD"/>
      </x:bottom>
    </x:border>
    <x:border>
      <x:top style="thin">
        <x:color rgb="FFC9D3DD"/>
      </x:top>
      <x:bottom style="thin">
        <x:color rgb="FFC9D3DD"/>
      </x:bottom>
    </x:border>
    <x:border>
      <x:left style="thin">
        <x:color rgb="FFC9D3DD"/>
      </x:left>
      <x:right style="thin">
        <x:color rgb="FFC9D3DD"/>
      </x:right>
      <x:bottom style="thin">
        <x:color rgb="FFC9D3DD"/>
      </x:bottom>
    </x:border>
    <x:border>
      <x:left style="thin">
        <x:color rgb="FFC9D3DD"/>
      </x:left>
      <x:right style="thin">
        <x:color rgb="FFC9D3DD"/>
      </x:right>
      <x:top style="thin">
        <x:color rgb="FFC9D3DD"/>
      </x:top>
      <x:bottom style="thin">
        <x:color rgb="FFC9D3DD"/>
      </x:bottom>
    </x:border>
    <x:border>
      <x:left style="thin">
        <x:color rgb="FFC9D3DD"/>
      </x:left>
      <x:right style="thin">
        <x:color rgb="FFC9D3DD"/>
      </x:right>
      <x:top style="thin">
        <x:color rgb="FFC9D3DD"/>
      </x:top>
    </x:border>
    <x:border>
      <x:left style="thin">
        <x:color rgb="FFC9D3DD"/>
      </x:left>
      <x:right style="thin">
        <x:color rgb="FFC9D3DD"/>
      </x:right>
    </x:border>
  </x:borders>
  <x:cellStyleXfs count="1">
    <x:xf numFmtId="0" fontId="0" fillId="0" borderId="0"/>
  </x:cellStyleXfs>
  <x:cellXfs count="28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2"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2"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4" fillId="0" borderId="0"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2" xfId="0" applyNumberFormat="1" applyFont="1" applyFill="1" applyBorder="1"/>
    <x:xf numFmtId="0" fontId="4" fillId="0" borderId="1"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3" xfId="0" applyNumberFormat="1" applyFont="1" applyFill="1" applyBorder="1" applyAlignment="1">
      <x:alignment vertical="center"/>
    </x:xf>
    <x:xf numFmtId="0" fontId="4" fillId="0" borderId="4" xfId="0" applyNumberFormat="1" applyFont="1" applyFill="1" applyBorder="1" applyAlignment="1">
      <x:alignment vertical="center"/>
    </x:xf>
    <x:xf numFmtId="0" fontId="4" fillId="0" borderId="2" xfId="0" applyNumberFormat="1" applyFont="1" applyFill="1" applyBorder="1" applyAlignment="1">
      <x:alignment vertical="center"/>
    </x:xf>
    <x:xf numFmtId="0" fontId="4" fillId="0" borderId="1" xfId="0" applyNumberFormat="1" applyFont="1" applyFill="1" applyBorder="1" applyAlignment="1">
      <x:alignment vertical="center"/>
    </x:xf>
    <x:xf numFmtId="0" fontId="4" fillId="0" borderId="5" xfId="0" applyNumberFormat="1" applyFont="1" applyFill="1" applyBorder="1" applyAlignment="1">
      <x:alignment vertical="center"/>
    </x:xf>
    <x:xf numFmtId="0" fontId="4" fillId="0" borderId="6" xfId="0" applyNumberFormat="1" applyFont="1" applyFill="1" applyBorder="1" applyAlignment="1">
      <x:alignment vertical="center"/>
    </x:xf>
    <x:xf numFmtId="0" fontId="4" fillId="4" borderId="4" xfId="0" applyNumberFormat="1" applyFont="1" applyFill="1" applyBorder="1" applyAlignment="1">
      <x:alignment vertical="center"/>
    </x:xf>
    <x:xf numFmtId="0" fontId="4" fillId="4" borderId="1" xfId="0" applyNumberFormat="1" applyFont="1" applyFill="1" applyBorder="1" applyAlignment="1">
      <x:alignment vertical="center"/>
    </x:xf>
    <x:xf numFmtId="0" fontId="4" fillId="4" borderId="6" xfId="0" applyNumberFormat="1" applyFont="1" applyFill="1" applyBorder="1" applyAlignment="1">
      <x:alignment vertical="center"/>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vertical="center"/>
    </x:xf>
    <x:xf numFmtId="0" fontId="0" fillId="6" borderId="0" xfId="0" applyNumberFormat="1" applyFont="1" applyFill="1" applyBorder="1"/>
    <x:xf numFmtId="0" fontId="5" fillId="6" borderId="0" xfId="0" applyNumberFormat="1" applyFont="1" applyFill="1" applyBorder="1"/>
    <x:xf numFmtId="0" fontId="5" fillId="6" borderId="6" xfId="0" applyNumberFormat="1" applyFont="1" applyFill="1" applyBorder="1"/>
    <x:xf numFmtId="0" fontId="5" fillId="6" borderId="7" xfId="0" applyNumberFormat="1" applyFont="1" applyFill="1" applyBorder="1"/>
    <x:xf numFmtId="0" fontId="5" fillId="6" borderId="5" xfId="0" applyNumberFormat="1" applyFont="1" applyFill="1" applyBorder="1"/>
    <x:xf numFmtId="0" fontId="5" fillId="6" borderId="8" xfId="0" applyNumberFormat="1" applyFont="1" applyFill="1" applyBorder="1"/>
    <x:xf numFmtId="0" fontId="5" fillId="6" borderId="9" xfId="0" applyNumberFormat="1" applyFont="1" applyFill="1" applyBorder="1"/>
    <x:xf numFmtId="0" fontId="5" fillId="6" borderId="4" xfId="0" applyNumberFormat="1" applyFont="1" applyFill="1" applyBorder="1"/>
    <x:xf numFmtId="0" fontId="5" fillId="6" borderId="10" xfId="0" applyNumberFormat="1" applyFont="1" applyFill="1" applyBorder="1"/>
    <x:xf numFmtId="0" fontId="5" fillId="6" borderId="3" xfId="0" applyNumberFormat="1" applyFont="1" applyFill="1" applyBorder="1"/>
    <x:xf numFmtId="0" fontId="5" fillId="6" borderId="6" xfId="0" applyNumberFormat="1" applyFont="1" applyFill="1" applyBorder="1" applyAlignment="1">
      <x:alignment wrapText="1"/>
    </x:xf>
    <x:xf numFmtId="0" fontId="5" fillId="6" borderId="7" xfId="0" applyNumberFormat="1" applyFont="1" applyFill="1" applyBorder="1" applyAlignment="1">
      <x:alignment wrapText="1"/>
    </x:xf>
    <x:xf numFmtId="0" fontId="5" fillId="6" borderId="5" xfId="0" applyNumberFormat="1" applyFont="1" applyFill="1" applyBorder="1" applyAlignment="1">
      <x:alignment wrapText="1"/>
    </x:xf>
    <x:xf numFmtId="0" fontId="5" fillId="6" borderId="8"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9" xfId="0" applyNumberFormat="1" applyFont="1" applyFill="1" applyBorder="1" applyAlignment="1">
      <x:alignment wrapText="1"/>
    </x:xf>
    <x:xf numFmtId="0" fontId="5" fillId="6" borderId="4" xfId="0" applyNumberFormat="1" applyFont="1" applyFill="1" applyBorder="1" applyAlignment="1">
      <x:alignment wrapText="1"/>
    </x:xf>
    <x:xf numFmtId="0" fontId="5" fillId="6" borderId="10" xfId="0" applyNumberFormat="1" applyFont="1" applyFill="1" applyBorder="1" applyAlignment="1">
      <x:alignment wrapText="1"/>
    </x:xf>
    <x:xf numFmtId="0" fontId="5" fillId="6" borderId="3" xfId="0" applyNumberFormat="1" applyFont="1" applyFill="1" applyBorder="1" applyAlignment="1">
      <x:alignment wrapText="1"/>
    </x:xf>
    <x:xf numFmtId="0" fontId="5" fillId="6" borderId="6" xfId="0" applyNumberFormat="1" applyFont="1" applyFill="1" applyBorder="1" applyAlignment="1">
      <x:alignment vertical="center" wrapText="1"/>
    </x:xf>
    <x:xf numFmtId="0" fontId="5" fillId="6" borderId="7" xfId="0" applyNumberFormat="1" applyFont="1" applyFill="1" applyBorder="1" applyAlignment="1">
      <x:alignment vertical="center" wrapText="1"/>
    </x:xf>
    <x:xf numFmtId="0" fontId="5" fillId="6" borderId="5" xfId="0" applyNumberFormat="1" applyFont="1" applyFill="1" applyBorder="1" applyAlignment="1">
      <x:alignment vertical="center" wrapText="1"/>
    </x:xf>
    <x:xf numFmtId="0" fontId="5" fillId="6" borderId="8" xfId="0" applyNumberFormat="1" applyFont="1" applyFill="1" applyBorder="1" applyAlignment="1">
      <x:alignment vertical="center" wrapText="1"/>
    </x:xf>
    <x:xf numFmtId="0" fontId="5" fillId="6" borderId="0" xfId="0" applyNumberFormat="1" applyFont="1" applyFill="1" applyBorder="1" applyAlignment="1">
      <x:alignment vertical="center" wrapText="1"/>
    </x:xf>
    <x:xf numFmtId="0" fontId="5" fillId="6" borderId="9" xfId="0" applyNumberFormat="1" applyFont="1" applyFill="1" applyBorder="1" applyAlignment="1">
      <x:alignment vertical="center" wrapText="1"/>
    </x:xf>
    <x:xf numFmtId="0" fontId="5" fillId="6" borderId="4" xfId="0" applyNumberFormat="1" applyFont="1" applyFill="1" applyBorder="1" applyAlignment="1">
      <x:alignment vertical="center" wrapText="1"/>
    </x:xf>
    <x:xf numFmtId="0" fontId="5" fillId="6" borderId="10" xfId="0" applyNumberFormat="1" applyFont="1" applyFill="1" applyBorder="1" applyAlignment="1">
      <x:alignment vertical="center" wrapText="1"/>
    </x:xf>
    <x:xf numFmtId="0" fontId="5" fillId="6" borderId="3" xfId="0" applyNumberFormat="1" applyFont="1" applyFill="1" applyBorder="1" applyAlignment="1">
      <x:alignment vertical="center" wrapText="1"/>
    </x:xf>
    <x:xf numFmtId="0" fontId="3" fillId="2" borderId="11" xfId="0" applyNumberFormat="1" applyFont="1" applyFill="1" applyBorder="1"/>
    <x:xf numFmtId="0" fontId="3" fillId="2" borderId="11" xfId="0" applyNumberFormat="1" applyFont="1" applyFill="1" applyBorder="1" applyAlignment="1">
      <x:alignment wrapText="1"/>
    </x:xf>
    <x:xf numFmtId="0" fontId="3" fillId="2" borderId="11" xfId="0" applyNumberFormat="1" applyFont="1" applyFill="1" applyBorder="1" applyAlignment="1">
      <x:alignment horizontal="center" wrapText="1"/>
    </x:xf>
    <x:xf numFmtId="0" fontId="3" fillId="2" borderId="11" xfId="0" applyNumberFormat="1" applyFont="1" applyFill="1" applyBorder="1" applyAlignment="1">
      <x:alignment horizontal="center" vertical="center" wrapText="1"/>
    </x:xf>
    <x:xf numFmtId="0" fontId="4" fillId="0" borderId="12" xfId="0" applyNumberFormat="1" applyFont="1" applyFill="1" applyBorder="1"/>
    <x:xf numFmtId="0" fontId="4" fillId="0" borderId="13" xfId="0" applyNumberFormat="1" applyFont="1" applyFill="1" applyBorder="1"/>
    <x:xf numFmtId="0" fontId="4" fillId="0" borderId="14" xfId="0" applyNumberFormat="1" applyFont="1" applyFill="1" applyBorder="1"/>
    <x:xf numFmtId="0" fontId="4" fillId="0" borderId="12" xfId="0" applyNumberFormat="1" applyFont="1" applyFill="1" applyBorder="1" applyAlignment="1">
      <x:alignment vertical="center"/>
    </x:xf>
    <x:xf numFmtId="0" fontId="4" fillId="0" borderId="13" xfId="0" applyNumberFormat="1" applyFont="1" applyFill="1" applyBorder="1" applyAlignment="1">
      <x:alignment vertical="center"/>
    </x:xf>
    <x:xf numFmtId="0" fontId="4" fillId="0" borderId="14" xfId="0" applyNumberFormat="1" applyFont="1" applyFill="1" applyBorder="1" applyAlignment="1">
      <x:alignment vertical="center"/>
    </x:xf>
    <x:xf numFmtId="200" fontId="4" fillId="0" borderId="12" xfId="0" applyNumberFormat="1" applyFont="1" applyFill="1" applyBorder="1" applyAlignment="1">
      <x:alignment vertical="center"/>
    </x:xf>
    <x:xf numFmtId="200" fontId="4" fillId="0" borderId="13" xfId="0" applyNumberFormat="1" applyFont="1" applyFill="1" applyBorder="1" applyAlignment="1">
      <x:alignment vertical="center"/>
    </x:xf>
    <x:xf numFmtId="200" fontId="4" fillId="0" borderId="14" xfId="0" applyNumberFormat="1" applyFont="1" applyFill="1" applyBorder="1" applyAlignment="1">
      <x:alignment vertical="center"/>
    </x:xf>
    <x:xf numFmtId="0" fontId="4" fillId="4" borderId="12" xfId="0" applyNumberFormat="1" applyFont="1" applyFill="1" applyBorder="1" applyAlignment="1">
      <x:alignment vertical="center"/>
    </x:xf>
    <x:xf numFmtId="0" fontId="4" fillId="4" borderId="13" xfId="0" applyNumberFormat="1" applyFont="1" applyFill="1" applyBorder="1" applyAlignment="1">
      <x:alignment vertical="center"/>
    </x:xf>
    <x:xf numFmtId="0" fontId="4" fillId="4" borderId="14" xfId="0" applyNumberFormat="1" applyFont="1" applyFill="1" applyBorder="1" applyAlignment="1">
      <x:alignment vertical="center"/>
    </x:xf>
    <x:xf numFmtId="0" fontId="4" fillId="3" borderId="0" xfId="0" applyNumberFormat="1" applyFont="1" applyFill="1" applyBorder="1"/>
    <x:xf numFmtId="0" fontId="4" fillId="3" borderId="6" xfId="0" applyNumberFormat="1" applyFont="1" applyFill="1" applyBorder="1"/>
    <x:xf numFmtId="0" fontId="4" fillId="3" borderId="7" xfId="0" applyNumberFormat="1" applyFont="1" applyFill="1" applyBorder="1"/>
    <x:xf numFmtId="0" fontId="4" fillId="3" borderId="5" xfId="0" applyNumberFormat="1" applyFont="1" applyFill="1" applyBorder="1"/>
    <x:xf numFmtId="0" fontId="4" fillId="3" borderId="8" xfId="0" applyNumberFormat="1" applyFont="1" applyFill="1" applyBorder="1"/>
    <x:xf numFmtId="0" fontId="4" fillId="3" borderId="9" xfId="0" applyNumberFormat="1" applyFont="1" applyFill="1" applyBorder="1"/>
    <x:xf numFmtId="0" fontId="4" fillId="3" borderId="4" xfId="0" applyNumberFormat="1" applyFont="1" applyFill="1" applyBorder="1"/>
    <x:xf numFmtId="0" fontId="4" fillId="3" borderId="10" xfId="0" applyNumberFormat="1" applyFont="1" applyFill="1" applyBorder="1"/>
    <x:xf numFmtId="0" fontId="4" fillId="3" borderId="3" xfId="0" applyNumberFormat="1" applyFont="1" applyFill="1" applyBorder="1"/>
    <x:xf numFmtId="0" fontId="4" fillId="3" borderId="6" xfId="0" applyNumberFormat="1" applyFont="1" applyFill="1" applyBorder="1" applyAlignment="1">
      <x:alignment wrapText="1"/>
    </x:xf>
    <x:xf numFmtId="0" fontId="4" fillId="3" borderId="7" xfId="0" applyNumberFormat="1" applyFont="1" applyFill="1" applyBorder="1" applyAlignment="1">
      <x:alignment wrapText="1"/>
    </x:xf>
    <x:xf numFmtId="0" fontId="4" fillId="3" borderId="5" xfId="0" applyNumberFormat="1" applyFont="1" applyFill="1" applyBorder="1" applyAlignment="1">
      <x:alignment wrapText="1"/>
    </x:xf>
    <x:xf numFmtId="0" fontId="4" fillId="3" borderId="8" xfId="0" applyNumberFormat="1" applyFont="1" applyFill="1" applyBorder="1" applyAlignment="1">
      <x:alignment wrapText="1"/>
    </x:xf>
    <x:xf numFmtId="0" fontId="4" fillId="3" borderId="0" xfId="0" applyNumberFormat="1" applyFont="1" applyFill="1" applyBorder="1" applyAlignment="1">
      <x:alignment wrapText="1"/>
    </x:xf>
    <x:xf numFmtId="0" fontId="4" fillId="3" borderId="9" xfId="0" applyNumberFormat="1" applyFont="1" applyFill="1" applyBorder="1" applyAlignment="1">
      <x:alignment wrapText="1"/>
    </x:xf>
    <x:xf numFmtId="0" fontId="4" fillId="3" borderId="4" xfId="0" applyNumberFormat="1" applyFont="1" applyFill="1" applyBorder="1" applyAlignment="1">
      <x:alignment wrapText="1"/>
    </x:xf>
    <x:xf numFmtId="0" fontId="4" fillId="3" borderId="10" xfId="0" applyNumberFormat="1" applyFont="1" applyFill="1" applyBorder="1" applyAlignment="1">
      <x:alignment wrapText="1"/>
    </x:xf>
    <x:xf numFmtId="0" fontId="4" fillId="3" borderId="3" xfId="0" applyNumberFormat="1" applyFont="1" applyFill="1" applyBorder="1" applyAlignment="1">
      <x:alignment wrapText="1"/>
    </x:xf>
    <x:xf numFmtId="0" fontId="4" fillId="3" borderId="6" xfId="0" applyNumberFormat="1" applyFont="1" applyFill="1" applyBorder="1" applyAlignment="1">
      <x:alignment vertical="center" wrapText="1"/>
    </x:xf>
    <x:xf numFmtId="0" fontId="4" fillId="3" borderId="7" xfId="0" applyNumberFormat="1" applyFont="1" applyFill="1" applyBorder="1" applyAlignment="1">
      <x:alignment vertical="center" wrapText="1"/>
    </x:xf>
    <x:xf numFmtId="0" fontId="4" fillId="3" borderId="5" xfId="0" applyNumberFormat="1" applyFont="1" applyFill="1" applyBorder="1" applyAlignment="1">
      <x:alignment vertical="center" wrapText="1"/>
    </x:xf>
    <x:xf numFmtId="0" fontId="4" fillId="3" borderId="8"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4" fillId="3" borderId="9" xfId="0" applyNumberFormat="1" applyFont="1" applyFill="1" applyBorder="1" applyAlignment="1">
      <x:alignment vertical="center" wrapText="1"/>
    </x:xf>
    <x:xf numFmtId="0" fontId="4" fillId="3" borderId="4" xfId="0" applyNumberFormat="1" applyFont="1" applyFill="1" applyBorder="1" applyAlignment="1">
      <x:alignment vertical="center" wrapText="1"/>
    </x:xf>
    <x:xf numFmtId="0" fontId="4" fillId="3" borderId="10" xfId="0" applyNumberFormat="1" applyFont="1" applyFill="1" applyBorder="1" applyAlignment="1">
      <x:alignment vertical="center" wrapText="1"/>
    </x:xf>
    <x:xf numFmtId="0" fontId="4" fillId="3" borderId="3" xfId="0" applyNumberFormat="1" applyFont="1" applyFill="1" applyBorder="1" applyAlignment="1">
      <x:alignment vertical="center" wrapText="1"/>
    </x:xf>
    <x:xf numFmtId="200" fontId="4" fillId="0" borderId="4" xfId="0" applyNumberFormat="1" applyFont="1" applyFill="1" applyBorder="1" applyAlignment="1">
      <x:alignment vertical="center"/>
    </x:xf>
    <x:xf numFmtId="200" fontId="4" fillId="0" borderId="1" xfId="0" applyNumberFormat="1" applyFont="1" applyFill="1" applyBorder="1" applyAlignment="1">
      <x:alignment vertical="center"/>
    </x:xf>
    <x:xf numFmtId="200" fontId="4" fillId="0" borderId="6" xfId="0" applyNumberFormat="1" applyFont="1" applyFill="1" applyBorder="1" applyAlignment="1">
      <x:alignment vertical="center"/>
    </x:xf>
    <x:xf numFmtId="0" fontId="4" fillId="0" borderId="9" xfId="0" applyNumberFormat="1" applyFont="1" applyFill="1" applyBorder="1"/>
    <x:xf numFmtId="0" fontId="4" fillId="0" borderId="15" xfId="0" applyNumberFormat="1" applyFont="1" applyFill="1" applyBorder="1"/>
    <x:xf numFmtId="0" fontId="4" fillId="0" borderId="8" xfId="0" applyNumberFormat="1" applyFont="1" applyFill="1" applyBorder="1"/>
    <x:xf numFmtId="0" fontId="4" fillId="0" borderId="9" xfId="0" applyNumberFormat="1" applyFont="1" applyFill="1" applyBorder="1" applyAlignment="1">
      <x:alignment vertical="center"/>
    </x:xf>
    <x:xf numFmtId="0" fontId="4" fillId="0" borderId="15" xfId="0" applyNumberFormat="1" applyFont="1" applyFill="1" applyBorder="1" applyAlignment="1">
      <x:alignment vertical="center"/>
    </x:xf>
    <x:xf numFmtId="0" fontId="4" fillId="0" borderId="8" xfId="0" applyNumberFormat="1" applyFont="1" applyFill="1" applyBorder="1" applyAlignment="1">
      <x:alignment vertical="center"/>
    </x:xf>
    <x:xf numFmtId="201" fontId="4" fillId="0" borderId="15" xfId="0" applyNumberFormat="1" applyFont="1" applyFill="1" applyBorder="1" applyAlignment="1">
      <x:alignment vertical="center"/>
    </x:xf>
    <x:xf numFmtId="202" fontId="4" fillId="0" borderId="8" xfId="0" applyNumberFormat="1" applyFont="1" applyFill="1" applyBorder="1" applyAlignment="1">
      <x:alignment vertical="center"/>
    </x:xf>
    <x:xf numFmtId="201" fontId="4" fillId="0" borderId="12" xfId="0" applyNumberFormat="1" applyFont="1" applyFill="1" applyBorder="1" applyAlignment="1">
      <x:alignment vertical="center"/>
    </x:xf>
    <x:xf numFmtId="201" fontId="4" fillId="0" borderId="13" xfId="0" applyNumberFormat="1" applyFont="1" applyFill="1" applyBorder="1" applyAlignment="1">
      <x:alignment vertical="center"/>
    </x:xf>
    <x:xf numFmtId="201" fontId="4" fillId="0" borderId="14" xfId="0" applyNumberFormat="1" applyFont="1" applyFill="1" applyBorder="1" applyAlignment="1">
      <x:alignment vertical="center"/>
    </x:xf>
    <x:xf numFmtId="203" fontId="4" fillId="0" borderId="12" xfId="0" applyNumberFormat="1" applyFont="1" applyFill="1" applyBorder="1" applyAlignment="1">
      <x:alignment vertical="center"/>
    </x:xf>
    <x:xf numFmtId="203" fontId="4" fillId="0" borderId="4" xfId="0" applyNumberFormat="1" applyFont="1" applyFill="1" applyBorder="1" applyAlignment="1">
      <x:alignment vertical="center"/>
    </x:xf>
    <x:xf numFmtId="203" fontId="4" fillId="0" borderId="13" xfId="0" applyNumberFormat="1" applyFont="1" applyFill="1" applyBorder="1" applyAlignment="1">
      <x:alignment vertical="center"/>
    </x:xf>
    <x:xf numFmtId="203" fontId="4" fillId="0" borderId="1" xfId="0" applyNumberFormat="1" applyFont="1" applyFill="1" applyBorder="1" applyAlignment="1">
      <x:alignment vertical="center"/>
    </x:xf>
    <x:xf numFmtId="203" fontId="4" fillId="0" borderId="14" xfId="0" applyNumberFormat="1" applyFont="1" applyFill="1" applyBorder="1" applyAlignment="1">
      <x:alignment vertical="center"/>
    </x:xf>
    <x:xf numFmtId="203" fontId="4" fillId="0" borderId="6" xfId="0" applyNumberFormat="1" applyFont="1" applyFill="1" applyBorder="1" applyAlignment="1">
      <x:alignment vertical="center"/>
    </x:xf>
    <x:xf numFmtId="0" fontId="4" fillId="7" borderId="3" xfId="0" applyNumberFormat="1" applyFont="1" applyFill="1" applyBorder="1" applyAlignment="1">
      <x:alignment vertical="center"/>
    </x:xf>
    <x:xf numFmtId="200" fontId="4" fillId="7" borderId="12" xfId="0" applyNumberFormat="1" applyFont="1" applyFill="1" applyBorder="1" applyAlignment="1">
      <x:alignment vertical="center"/>
    </x:xf>
    <x:xf numFmtId="0" fontId="4" fillId="7" borderId="12" xfId="0" applyNumberFormat="1" applyFont="1" applyFill="1" applyBorder="1" applyAlignment="1">
      <x:alignment vertical="center"/>
    </x:xf>
    <x:xf numFmtId="201" fontId="4" fillId="7" borderId="12" xfId="0" applyNumberFormat="1" applyFont="1" applyFill="1" applyBorder="1" applyAlignment="1">
      <x:alignment vertical="center"/>
    </x:xf>
    <x:xf numFmtId="203" fontId="4" fillId="7" borderId="12" xfId="0" applyNumberFormat="1" applyFont="1" applyFill="1" applyBorder="1" applyAlignment="1">
      <x:alignment vertical="center"/>
    </x:xf>
    <x:xf numFmtId="203" fontId="4" fillId="7" borderId="4" xfId="0" applyNumberFormat="1" applyFont="1" applyFill="1" applyBorder="1" applyAlignment="1">
      <x:alignment vertical="center"/>
    </x:xf>
    <x:xf numFmtId="0" fontId="4" fillId="7" borderId="2" xfId="0" applyNumberFormat="1" applyFont="1" applyFill="1" applyBorder="1" applyAlignment="1">
      <x:alignment vertical="center"/>
    </x:xf>
    <x:xf numFmtId="200" fontId="4" fillId="7" borderId="13" xfId="0" applyNumberFormat="1" applyFont="1" applyFill="1" applyBorder="1" applyAlignment="1">
      <x:alignment vertical="center"/>
    </x:xf>
    <x:xf numFmtId="0" fontId="4" fillId="7" borderId="13" xfId="0" applyNumberFormat="1" applyFont="1" applyFill="1" applyBorder="1" applyAlignment="1">
      <x:alignment vertical="center"/>
    </x:xf>
    <x:xf numFmtId="201" fontId="4" fillId="7" borderId="13" xfId="0" applyNumberFormat="1" applyFont="1" applyFill="1" applyBorder="1" applyAlignment="1">
      <x:alignment vertical="center"/>
    </x:xf>
    <x:xf numFmtId="203" fontId="4" fillId="7" borderId="13" xfId="0" applyNumberFormat="1" applyFont="1" applyFill="1" applyBorder="1" applyAlignment="1">
      <x:alignment vertical="center"/>
    </x:xf>
    <x:xf numFmtId="203" fontId="4" fillId="7" borderId="1" xfId="0" applyNumberFormat="1" applyFont="1" applyFill="1" applyBorder="1" applyAlignment="1">
      <x:alignment vertical="center"/>
    </x:xf>
    <x:xf numFmtId="0" fontId="4" fillId="8" borderId="2" xfId="0" applyNumberFormat="1" applyFont="1" applyFill="1" applyBorder="1" applyAlignment="1">
      <x:alignment vertical="center"/>
    </x:xf>
    <x:xf numFmtId="200" fontId="4" fillId="8" borderId="13" xfId="0" applyNumberFormat="1" applyFont="1" applyFill="1" applyBorder="1" applyAlignment="1">
      <x:alignment vertical="center"/>
    </x:xf>
    <x:xf numFmtId="0" fontId="4" fillId="8" borderId="13" xfId="0" applyNumberFormat="1" applyFont="1" applyFill="1" applyBorder="1" applyAlignment="1">
      <x:alignment vertical="center"/>
    </x:xf>
    <x:xf numFmtId="201" fontId="4" fillId="8" borderId="13" xfId="0" applyNumberFormat="1" applyFont="1" applyFill="1" applyBorder="1" applyAlignment="1">
      <x:alignment vertical="center"/>
    </x:xf>
    <x:xf numFmtId="203" fontId="4" fillId="8" borderId="13" xfId="0" applyNumberFormat="1" applyFont="1" applyFill="1" applyBorder="1" applyAlignment="1">
      <x:alignment vertical="center"/>
    </x:xf>
    <x:xf numFmtId="203" fontId="4" fillId="8" borderId="1" xfId="0" applyNumberFormat="1" applyFont="1" applyFill="1" applyBorder="1" applyAlignment="1">
      <x:alignment vertical="center"/>
    </x:xf>
    <x:xf numFmtId="0" fontId="4" fillId="8" borderId="5" xfId="0" applyNumberFormat="1" applyFont="1" applyFill="1" applyBorder="1" applyAlignment="1">
      <x:alignment vertical="center"/>
    </x:xf>
    <x:xf numFmtId="200" fontId="4" fillId="8" borderId="14" xfId="0" applyNumberFormat="1" applyFont="1" applyFill="1" applyBorder="1" applyAlignment="1">
      <x:alignment vertical="center"/>
    </x:xf>
    <x:xf numFmtId="0" fontId="4" fillId="8" borderId="14" xfId="0" applyNumberFormat="1" applyFont="1" applyFill="1" applyBorder="1" applyAlignment="1">
      <x:alignment vertical="center"/>
    </x:xf>
    <x:xf numFmtId="201" fontId="4" fillId="8" borderId="14" xfId="0" applyNumberFormat="1" applyFont="1" applyFill="1" applyBorder="1" applyAlignment="1">
      <x:alignment vertical="center"/>
    </x:xf>
    <x:xf numFmtId="203" fontId="4" fillId="8" borderId="14" xfId="0" applyNumberFormat="1" applyFont="1" applyFill="1" applyBorder="1" applyAlignment="1">
      <x:alignment vertical="center"/>
    </x:xf>
    <x:xf numFmtId="203" fontId="4" fillId="8" borderId="6" xfId="0" applyNumberFormat="1" applyFont="1" applyFill="1" applyBorder="1" applyAlignment="1">
      <x:alignment vertical="center"/>
    </x:xf>
    <x:xf numFmtId="204" fontId="4" fillId="0" borderId="12" xfId="0" applyNumberFormat="1" applyFont="1" applyFill="1" applyBorder="1" applyAlignment="1">
      <x:alignment vertical="center"/>
    </x:xf>
    <x:xf numFmtId="204" fontId="4" fillId="0" borderId="4" xfId="0" applyNumberFormat="1" applyFont="1" applyFill="1" applyBorder="1" applyAlignment="1">
      <x:alignment vertical="center"/>
    </x:xf>
    <x:xf numFmtId="204" fontId="4" fillId="0" borderId="13" xfId="0" applyNumberFormat="1" applyFont="1" applyFill="1" applyBorder="1" applyAlignment="1">
      <x:alignment vertical="center"/>
    </x:xf>
    <x:xf numFmtId="204" fontId="4" fillId="0" borderId="1" xfId="0" applyNumberFormat="1" applyFont="1" applyFill="1" applyBorder="1" applyAlignment="1">
      <x:alignment vertical="center"/>
    </x:xf>
    <x:xf numFmtId="204" fontId="4" fillId="0" borderId="14" xfId="0" applyNumberFormat="1" applyFont="1" applyFill="1" applyBorder="1" applyAlignment="1">
      <x:alignment vertical="center"/>
    </x:xf>
    <x:xf numFmtId="204" fontId="4" fillId="0" borderId="6" xfId="0" applyNumberFormat="1" applyFont="1" applyFill="1" applyBorder="1" applyAlignment="1">
      <x:alignment vertical="center"/>
    </x:xf>
    <x:xf numFmtId="0" fontId="0" fillId="0" borderId="0" xfId="0">
      <x:extLst>
        <x:ext uri="{C7286773-470A-42A8-94C5-96B5CB345126}">
          <xfpb:xfComplement xmlns:xfpb="http://schemas.microsoft.com/office/spreadsheetml/2022/featurepropertybag" i="0"/>
        </x:ext>
      </x:extLst>
    </x:xf>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6" xfId="0" applyNumberFormat="1" applyFont="1" applyFill="1" applyBorder="1">
      <x:extLst>
        <x:ext uri="{C7286773-470A-42A8-94C5-96B5CB345126}">
          <xfpb:xfComplement xmlns:xfpb="http://schemas.microsoft.com/office/spreadsheetml/2022/featurepropertybag" i="0"/>
        </x:ext>
      </x:extLst>
    </x:xf>
    <x:xf numFmtId="0" fontId="4" fillId="0" borderId="6"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4" fillId="4" borderId="6"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4" fillId="0" borderId="4" xfId="0" applyNumberFormat="1" applyFont="1" applyFill="1" applyBorder="1">
      <x:extLst>
        <x:ext uri="{C7286773-470A-42A8-94C5-96B5CB345126}">
          <xfpb:xfComplement xmlns:xfpb="http://schemas.microsoft.com/office/spreadsheetml/2022/featurepropertybag" i="0"/>
        </x:ext>
      </x:extLst>
    </x:xf>
    <x:xf numFmtId="0" fontId="4" fillId="0" borderId="4" xfId="0" applyNumberFormat="1" applyFont="1" applyFill="1" applyBorder="1" applyAlignment="1">
      <x:alignment vertical="center"/>
      <x:extLst>
        <x:ext uri="{C7286773-470A-42A8-94C5-96B5CB345126}">
          <xfpb:xfComplement xmlns:xfpb="http://schemas.microsoft.com/office/spreadsheetml/2022/featurepropertybag" i="0"/>
        </x:ext>
      </x:extLst>
    </x:xf>
    <x:xf numFmtId="200" fontId="4" fillId="0" borderId="4"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4" fillId="6" borderId="0" xfId="0" applyNumberFormat="1" applyFont="1" applyFill="1" applyBorder="1"/>
    <x:xf numFmtId="0" fontId="4" fillId="6" borderId="6" xfId="0" applyNumberFormat="1" applyFont="1" applyFill="1" applyBorder="1"/>
    <x:xf numFmtId="0" fontId="4" fillId="6" borderId="7" xfId="0" applyNumberFormat="1" applyFont="1" applyFill="1" applyBorder="1"/>
    <x:xf numFmtId="0" fontId="4" fillId="6" borderId="5" xfId="0" applyNumberFormat="1" applyFont="1" applyFill="1" applyBorder="1"/>
    <x:xf numFmtId="0" fontId="4" fillId="6" borderId="8" xfId="0" applyNumberFormat="1" applyFont="1" applyFill="1" applyBorder="1"/>
    <x:xf numFmtId="0" fontId="4" fillId="6" borderId="9" xfId="0" applyNumberFormat="1" applyFont="1" applyFill="1" applyBorder="1"/>
    <x:xf numFmtId="0" fontId="4" fillId="6" borderId="4" xfId="0" applyNumberFormat="1" applyFont="1" applyFill="1" applyBorder="1"/>
    <x:xf numFmtId="0" fontId="4" fillId="6" borderId="10" xfId="0" applyNumberFormat="1" applyFont="1" applyFill="1" applyBorder="1"/>
    <x:xf numFmtId="0" fontId="4" fillId="6" borderId="3" xfId="0" applyNumberFormat="1" applyFont="1" applyFill="1" applyBorder="1"/>
    <x:xf numFmtId="0" fontId="4" fillId="6" borderId="6" xfId="0" applyNumberFormat="1" applyFont="1" applyFill="1" applyBorder="1" applyAlignment="1">
      <x:alignment wrapText="1"/>
    </x:xf>
    <x:xf numFmtId="0" fontId="4" fillId="6" borderId="7" xfId="0" applyNumberFormat="1" applyFont="1" applyFill="1" applyBorder="1" applyAlignment="1">
      <x:alignment wrapText="1"/>
    </x:xf>
    <x:xf numFmtId="0" fontId="4" fillId="6" borderId="5" xfId="0" applyNumberFormat="1" applyFont="1" applyFill="1" applyBorder="1" applyAlignment="1">
      <x:alignment wrapText="1"/>
    </x:xf>
    <x:xf numFmtId="0" fontId="4" fillId="6" borderId="8" xfId="0" applyNumberFormat="1" applyFont="1" applyFill="1" applyBorder="1" applyAlignment="1">
      <x:alignment wrapText="1"/>
    </x:xf>
    <x:xf numFmtId="0" fontId="4" fillId="6" borderId="0" xfId="0" applyNumberFormat="1" applyFont="1" applyFill="1" applyBorder="1" applyAlignment="1">
      <x:alignment wrapText="1"/>
    </x:xf>
    <x:xf numFmtId="0" fontId="4" fillId="6" borderId="9" xfId="0" applyNumberFormat="1" applyFont="1" applyFill="1" applyBorder="1" applyAlignment="1">
      <x:alignment wrapText="1"/>
    </x:xf>
    <x:xf numFmtId="0" fontId="4" fillId="6" borderId="4" xfId="0" applyNumberFormat="1" applyFont="1" applyFill="1" applyBorder="1" applyAlignment="1">
      <x:alignment wrapText="1"/>
    </x:xf>
    <x:xf numFmtId="0" fontId="4" fillId="6" borderId="10" xfId="0" applyNumberFormat="1" applyFont="1" applyFill="1" applyBorder="1" applyAlignment="1">
      <x:alignment wrapText="1"/>
    </x:xf>
    <x:xf numFmtId="0" fontId="4" fillId="6" borderId="3" xfId="0" applyNumberFormat="1" applyFont="1" applyFill="1" applyBorder="1" applyAlignment="1">
      <x:alignment wrapText="1"/>
    </x:xf>
    <x:xf numFmtId="0" fontId="4" fillId="6" borderId="6" xfId="0" applyNumberFormat="1" applyFont="1" applyFill="1" applyBorder="1" applyAlignment="1">
      <x:alignment vertical="center" wrapText="1"/>
    </x:xf>
    <x:xf numFmtId="0" fontId="4" fillId="6" borderId="7" xfId="0" applyNumberFormat="1" applyFont="1" applyFill="1" applyBorder="1" applyAlignment="1">
      <x:alignment vertical="center" wrapText="1"/>
    </x:xf>
    <x:xf numFmtId="0" fontId="4" fillId="6" borderId="5" xfId="0" applyNumberFormat="1" applyFont="1" applyFill="1" applyBorder="1" applyAlignment="1">
      <x:alignment vertical="center" wrapText="1"/>
    </x:xf>
    <x:xf numFmtId="0" fontId="4" fillId="6" borderId="8" xfId="0" applyNumberFormat="1" applyFont="1" applyFill="1" applyBorder="1" applyAlignment="1">
      <x:alignment vertical="center" wrapText="1"/>
    </x:xf>
    <x:xf numFmtId="0" fontId="4" fillId="6" borderId="0" xfId="0" applyNumberFormat="1" applyFont="1" applyFill="1" applyBorder="1" applyAlignment="1">
      <x:alignment vertical="center" wrapText="1"/>
    </x:xf>
    <x:xf numFmtId="0" fontId="4" fillId="6" borderId="9" xfId="0" applyNumberFormat="1" applyFont="1" applyFill="1" applyBorder="1" applyAlignment="1">
      <x:alignment vertical="center" wrapText="1"/>
    </x:xf>
    <x:xf numFmtId="0" fontId="4" fillId="6" borderId="4" xfId="0" applyNumberFormat="1" applyFont="1" applyFill="1" applyBorder="1" applyAlignment="1">
      <x:alignment vertical="center" wrapText="1"/>
    </x:xf>
    <x:xf numFmtId="0" fontId="4" fillId="6" borderId="10" xfId="0" applyNumberFormat="1" applyFont="1" applyFill="1" applyBorder="1" applyAlignment="1">
      <x:alignment vertical="center" wrapText="1"/>
    </x:xf>
    <x:xf numFmtId="0" fontId="4" fillId="6" borderId="3" xfId="0" applyNumberFormat="1" applyFont="1" applyFill="1" applyBorder="1" applyAlignment="1">
      <x:alignment vertical="center" wrapText="1"/>
    </x:xf>
    <x:xf numFmtId="0" fontId="6" fillId="2" borderId="0" xfId="0" applyNumberFormat="1" applyFont="1" applyFill="1" applyBorder="1" applyAlignment="1">
      <x:alignment vertical="center"/>
    </x:xf>
    <x:xf numFmtId="0" fontId="7" fillId="3" borderId="0" xfId="0" applyNumberFormat="1" applyFont="1" applyFill="1" applyBorder="1" applyAlignment="1">
      <x:alignment vertical="center" wrapText="1"/>
    </x:xf>
    <x:xf numFmtId="0" fontId="8" fillId="0" borderId="0" xfId="0" applyNumberFormat="1" applyFont="1" applyFill="1" applyBorder="1"/>
    <x:xf numFmtId="0" fontId="9" fillId="2" borderId="1" xfId="0" applyNumberFormat="1" applyFont="1" applyFill="1" applyBorder="1" applyAlignment="1">
      <x:alignment horizontal="center" vertical="center" wrapText="1"/>
    </x:xf>
    <x:xf numFmtId="0" fontId="9" fillId="2" borderId="2" xfId="0" applyNumberFormat="1" applyFont="1" applyFill="1" applyBorder="1" applyAlignment="1">
      <x:alignment horizontal="center" vertical="center" wrapText="1"/>
    </x:xf>
    <x:xf numFmtId="0" fontId="9" fillId="5" borderId="0" xfId="0" applyNumberFormat="1" applyFont="1" applyFill="1" applyBorder="1" applyAlignment="1">
      <x:alignment vertical="center"/>
    </x:xf>
    <x:xf numFmtId="0" fontId="10" fillId="0" borderId="3" xfId="0" applyNumberFormat="1" applyFont="1" applyFill="1" applyBorder="1" applyAlignment="1">
      <x:alignment vertical="center"/>
    </x:xf>
    <x:xf numFmtId="0" fontId="10" fillId="4" borderId="4" xfId="0" applyNumberFormat="1" applyFont="1" applyFill="1" applyBorder="1" applyAlignment="1">
      <x:alignment vertical="center"/>
    </x:xf>
    <x:xf numFmtId="0" fontId="11" fillId="6" borderId="6" xfId="0" applyNumberFormat="1" applyFont="1" applyFill="1" applyBorder="1" applyAlignment="1">
      <x:alignment vertical="center" wrapText="1"/>
    </x:xf>
    <x:xf numFmtId="0" fontId="11" fillId="6" borderId="7" xfId="0" applyNumberFormat="1" applyFont="1" applyFill="1" applyBorder="1" applyAlignment="1">
      <x:alignment vertical="center" wrapText="1"/>
    </x:xf>
    <x:xf numFmtId="0" fontId="11" fillId="6" borderId="5" xfId="0" applyNumberFormat="1" applyFont="1" applyFill="1" applyBorder="1" applyAlignment="1">
      <x:alignment vertical="center" wrapText="1"/>
    </x:xf>
    <x:xf numFmtId="0" fontId="10" fillId="0" borderId="2" xfId="0" applyNumberFormat="1" applyFont="1" applyFill="1" applyBorder="1" applyAlignment="1">
      <x:alignment vertical="center"/>
    </x:xf>
    <x:xf numFmtId="0" fontId="10" fillId="4" borderId="1" xfId="0" applyNumberFormat="1" applyFont="1" applyFill="1" applyBorder="1" applyAlignment="1">
      <x:alignment vertical="center"/>
    </x:xf>
    <x:xf numFmtId="0" fontId="11" fillId="6" borderId="8" xfId="0" applyNumberFormat="1" applyFont="1" applyFill="1" applyBorder="1" applyAlignment="1">
      <x:alignment vertical="center" wrapText="1"/>
    </x:xf>
    <x:xf numFmtId="0" fontId="11" fillId="6" borderId="0" xfId="0" applyNumberFormat="1" applyFont="1" applyFill="1" applyBorder="1" applyAlignment="1">
      <x:alignment vertical="center" wrapText="1"/>
    </x:xf>
    <x:xf numFmtId="0" fontId="11" fillId="6" borderId="9" xfId="0" applyNumberFormat="1" applyFont="1" applyFill="1" applyBorder="1" applyAlignment="1">
      <x:alignment vertical="center" wrapText="1"/>
    </x:xf>
    <x:xf numFmtId="0" fontId="10" fillId="0" borderId="5" xfId="0" applyNumberFormat="1" applyFont="1" applyFill="1" applyBorder="1" applyAlignment="1">
      <x:alignment vertical="center"/>
    </x:xf>
    <x:xf numFmtId="0" fontId="10" fillId="4" borderId="6" xfId="0" applyNumberFormat="1" applyFont="1" applyFill="1" applyBorder="1" applyAlignment="1">
      <x:alignment vertical="center"/>
    </x:xf>
    <x:xf numFmtId="0" fontId="11" fillId="6" borderId="4" xfId="0" applyNumberFormat="1" applyFont="1" applyFill="1" applyBorder="1" applyAlignment="1">
      <x:alignment vertical="center" wrapText="1"/>
    </x:xf>
    <x:xf numFmtId="0" fontId="11" fillId="6" borderId="10" xfId="0" applyNumberFormat="1" applyFont="1" applyFill="1" applyBorder="1" applyAlignment="1">
      <x:alignment vertical="center" wrapText="1"/>
    </x:xf>
    <x:xf numFmtId="0" fontId="11" fillId="6" borderId="3" xfId="0" applyNumberFormat="1" applyFont="1" applyFill="1" applyBorder="1" applyAlignment="1">
      <x:alignment vertical="center" wrapText="1"/>
    </x:xf>
    <x:xf numFmtId="0" fontId="9" fillId="2" borderId="11" xfId="0" applyNumberFormat="1" applyFont="1" applyFill="1" applyBorder="1" applyAlignment="1">
      <x:alignment horizontal="center" vertical="center" wrapText="1"/>
    </x:xf>
    <x:xf numFmtId="200" fontId="10" fillId="0" borderId="12" xfId="0" applyNumberFormat="1" applyFont="1" applyFill="1" applyBorder="1" applyAlignment="1">
      <x:alignment vertical="center"/>
    </x:xf>
    <x:xf numFmtId="200" fontId="10" fillId="0" borderId="13" xfId="0" applyNumberFormat="1" applyFont="1" applyFill="1" applyBorder="1" applyAlignment="1">
      <x:alignment vertical="center"/>
    </x:xf>
    <x:xf numFmtId="200" fontId="10" fillId="0" borderId="14" xfId="0" applyNumberFormat="1" applyFont="1" applyFill="1" applyBorder="1" applyAlignment="1">
      <x:alignment vertical="center"/>
    </x:xf>
    <x:xf numFmtId="0" fontId="10" fillId="4" borderId="12" xfId="0" applyNumberFormat="1" applyFont="1" applyFill="1" applyBorder="1" applyAlignment="1">
      <x:alignment vertical="center"/>
    </x:xf>
    <x:xf numFmtId="0" fontId="10" fillId="0" borderId="12" xfId="0" applyNumberFormat="1" applyFont="1" applyFill="1" applyBorder="1" applyAlignment="1">
      <x:alignment vertical="center"/>
    </x:xf>
    <x:xf numFmtId="0" fontId="10" fillId="0" borderId="4" xfId="0" applyNumberFormat="1" applyFont="1" applyFill="1" applyBorder="1" applyAlignment="1">
      <x:alignment vertical="center"/>
    </x:xf>
    <x:xf numFmtId="0" fontId="10" fillId="4" borderId="13" xfId="0" applyNumberFormat="1" applyFont="1" applyFill="1" applyBorder="1" applyAlignment="1">
      <x:alignment vertical="center"/>
    </x:xf>
    <x:xf numFmtId="0" fontId="10" fillId="0" borderId="13" xfId="0" applyNumberFormat="1" applyFont="1" applyFill="1" applyBorder="1" applyAlignment="1">
      <x:alignment vertical="center"/>
    </x:xf>
    <x:xf numFmtId="0" fontId="10" fillId="0" borderId="1" xfId="0" applyNumberFormat="1" applyFont="1" applyFill="1" applyBorder="1" applyAlignment="1">
      <x:alignment vertical="center"/>
    </x:xf>
    <x:xf numFmtId="0" fontId="10" fillId="4" borderId="14" xfId="0" applyNumberFormat="1" applyFont="1" applyFill="1" applyBorder="1" applyAlignment="1">
      <x:alignment vertical="center"/>
    </x:xf>
    <x:xf numFmtId="0" fontId="10" fillId="0" borderId="14" xfId="0" applyNumberFormat="1" applyFont="1" applyFill="1" applyBorder="1" applyAlignment="1">
      <x:alignment vertical="center"/>
    </x:xf>
    <x:xf numFmtId="0" fontId="10" fillId="0" borderId="6" xfId="0" applyNumberFormat="1" applyFont="1" applyFill="1" applyBorder="1" applyAlignment="1">
      <x:alignment vertical="center"/>
    </x:xf>
    <x:xf numFmtId="0" fontId="10" fillId="3" borderId="6" xfId="0" applyNumberFormat="1" applyFont="1" applyFill="1" applyBorder="1" applyAlignment="1">
      <x:alignment vertical="center" wrapText="1"/>
    </x:xf>
    <x:xf numFmtId="0" fontId="10" fillId="3" borderId="7" xfId="0" applyNumberFormat="1" applyFont="1" applyFill="1" applyBorder="1" applyAlignment="1">
      <x:alignment vertical="center" wrapText="1"/>
    </x:xf>
    <x:xf numFmtId="0" fontId="10" fillId="3" borderId="5" xfId="0" applyNumberFormat="1" applyFont="1" applyFill="1" applyBorder="1" applyAlignment="1">
      <x:alignment vertical="center" wrapText="1"/>
    </x:xf>
    <x:xf numFmtId="0" fontId="10" fillId="3" borderId="8" xfId="0" applyNumberFormat="1" applyFont="1" applyFill="1" applyBorder="1" applyAlignment="1">
      <x:alignment vertical="center" wrapText="1"/>
    </x:xf>
    <x:xf numFmtId="0" fontId="10" fillId="3" borderId="0" xfId="0" applyNumberFormat="1" applyFont="1" applyFill="1" applyBorder="1" applyAlignment="1">
      <x:alignment vertical="center" wrapText="1"/>
    </x:xf>
    <x:xf numFmtId="0" fontId="10" fillId="3" borderId="9" xfId="0" applyNumberFormat="1" applyFont="1" applyFill="1" applyBorder="1" applyAlignment="1">
      <x:alignment vertical="center" wrapText="1"/>
    </x:xf>
    <x:xf numFmtId="0" fontId="10" fillId="3" borderId="4" xfId="0" applyNumberFormat="1" applyFont="1" applyFill="1" applyBorder="1" applyAlignment="1">
      <x:alignment vertical="center" wrapText="1"/>
    </x:xf>
    <x:xf numFmtId="0" fontId="10" fillId="3" borderId="10" xfId="0" applyNumberFormat="1" applyFont="1" applyFill="1" applyBorder="1" applyAlignment="1">
      <x:alignment vertical="center" wrapText="1"/>
    </x:xf>
    <x:xf numFmtId="0" fontId="10" fillId="3" borderId="3" xfId="0" applyNumberFormat="1" applyFont="1" applyFill="1" applyBorder="1" applyAlignment="1">
      <x:alignment vertical="center" wrapText="1"/>
    </x:xf>
    <x:xf numFmtId="200" fontId="10" fillId="0" borderId="4" xfId="0" applyNumberFormat="1" applyFont="1" applyFill="1" applyBorder="1" applyAlignment="1">
      <x:alignment vertical="center"/>
    </x:xf>
    <x:xf numFmtId="200" fontId="10" fillId="0" borderId="1" xfId="0" applyNumberFormat="1" applyFont="1" applyFill="1" applyBorder="1" applyAlignment="1">
      <x:alignment vertical="center"/>
    </x:xf>
    <x:xf numFmtId="200" fontId="10" fillId="0" borderId="6" xfId="0" applyNumberFormat="1" applyFont="1" applyFill="1" applyBorder="1" applyAlignment="1">
      <x:alignment vertical="center"/>
    </x:xf>
    <x:xf numFmtId="0" fontId="10" fillId="0" borderId="9" xfId="0" applyNumberFormat="1" applyFont="1" applyFill="1" applyBorder="1" applyAlignment="1">
      <x:alignment vertical="center"/>
    </x:xf>
    <x:xf numFmtId="201" fontId="10" fillId="0" borderId="15" xfId="0" applyNumberFormat="1" applyFont="1" applyFill="1" applyBorder="1" applyAlignment="1">
      <x:alignment vertical="center"/>
    </x:xf>
    <x:xf numFmtId="0" fontId="10" fillId="0" borderId="15" xfId="0" applyNumberFormat="1" applyFont="1" applyFill="1" applyBorder="1" applyAlignment="1">
      <x:alignment vertical="center"/>
    </x:xf>
    <x:xf numFmtId="202" fontId="10" fillId="0" borderId="8" xfId="0" applyNumberFormat="1" applyFont="1" applyFill="1" applyBorder="1" applyAlignment="1">
      <x:alignment vertical="center"/>
    </x:xf>
    <x:xf numFmtId="0" fontId="10" fillId="7" borderId="3" xfId="0" applyNumberFormat="1" applyFont="1" applyFill="1" applyBorder="1" applyAlignment="1">
      <x:alignment vertical="center"/>
    </x:xf>
    <x:xf numFmtId="200" fontId="10" fillId="7" borderId="12" xfId="0" applyNumberFormat="1" applyFont="1" applyFill="1" applyBorder="1" applyAlignment="1">
      <x:alignment vertical="center"/>
    </x:xf>
    <x:xf numFmtId="0" fontId="10" fillId="7" borderId="12" xfId="0" applyNumberFormat="1" applyFont="1" applyFill="1" applyBorder="1" applyAlignment="1">
      <x:alignment vertical="center"/>
    </x:xf>
    <x:xf numFmtId="201" fontId="10" fillId="7" borderId="12" xfId="0" applyNumberFormat="1" applyFont="1" applyFill="1" applyBorder="1" applyAlignment="1">
      <x:alignment vertical="center"/>
    </x:xf>
    <x:xf numFmtId="203" fontId="10" fillId="7" borderId="12" xfId="0" applyNumberFormat="1" applyFont="1" applyFill="1" applyBorder="1" applyAlignment="1">
      <x:alignment vertical="center"/>
    </x:xf>
    <x:xf numFmtId="203" fontId="10" fillId="7" borderId="4" xfId="0" applyNumberFormat="1" applyFont="1" applyFill="1" applyBorder="1" applyAlignment="1">
      <x:alignment vertical="center"/>
    </x:xf>
    <x:xf numFmtId="204" fontId="10" fillId="0" borderId="12" xfId="0" applyNumberFormat="1" applyFont="1" applyFill="1" applyBorder="1" applyAlignment="1">
      <x:alignment vertical="center"/>
    </x:xf>
    <x:xf numFmtId="204" fontId="10" fillId="0" borderId="4" xfId="0" applyNumberFormat="1" applyFont="1" applyFill="1" applyBorder="1" applyAlignment="1">
      <x:alignment vertical="center"/>
    </x:xf>
    <x:xf numFmtId="0" fontId="10" fillId="7" borderId="2" xfId="0" applyNumberFormat="1" applyFont="1" applyFill="1" applyBorder="1" applyAlignment="1">
      <x:alignment vertical="center"/>
    </x:xf>
    <x:xf numFmtId="200" fontId="10" fillId="7" borderId="13" xfId="0" applyNumberFormat="1" applyFont="1" applyFill="1" applyBorder="1" applyAlignment="1">
      <x:alignment vertical="center"/>
    </x:xf>
    <x:xf numFmtId="0" fontId="10" fillId="7" borderId="13" xfId="0" applyNumberFormat="1" applyFont="1" applyFill="1" applyBorder="1" applyAlignment="1">
      <x:alignment vertical="center"/>
    </x:xf>
    <x:xf numFmtId="201" fontId="10" fillId="7" borderId="13" xfId="0" applyNumberFormat="1" applyFont="1" applyFill="1" applyBorder="1" applyAlignment="1">
      <x:alignment vertical="center"/>
    </x:xf>
    <x:xf numFmtId="203" fontId="10" fillId="7" borderId="13" xfId="0" applyNumberFormat="1" applyFont="1" applyFill="1" applyBorder="1" applyAlignment="1">
      <x:alignment vertical="center"/>
    </x:xf>
    <x:xf numFmtId="203" fontId="10" fillId="7" borderId="1" xfId="0" applyNumberFormat="1" applyFont="1" applyFill="1" applyBorder="1" applyAlignment="1">
      <x:alignment vertical="center"/>
    </x:xf>
    <x:xf numFmtId="204" fontId="10" fillId="0" borderId="13" xfId="0" applyNumberFormat="1" applyFont="1" applyFill="1" applyBorder="1" applyAlignment="1">
      <x:alignment vertical="center"/>
    </x:xf>
    <x:xf numFmtId="204" fontId="10" fillId="0" borderId="1" xfId="0" applyNumberFormat="1" applyFont="1" applyFill="1" applyBorder="1" applyAlignment="1">
      <x:alignment vertical="center"/>
    </x:xf>
    <x:xf numFmtId="0" fontId="10" fillId="8" borderId="2" xfId="0" applyNumberFormat="1" applyFont="1" applyFill="1" applyBorder="1" applyAlignment="1">
      <x:alignment vertical="center"/>
    </x:xf>
    <x:xf numFmtId="200" fontId="10" fillId="8" borderId="13" xfId="0" applyNumberFormat="1" applyFont="1" applyFill="1" applyBorder="1" applyAlignment="1">
      <x:alignment vertical="center"/>
    </x:xf>
    <x:xf numFmtId="0" fontId="10" fillId="8" borderId="13" xfId="0" applyNumberFormat="1" applyFont="1" applyFill="1" applyBorder="1" applyAlignment="1">
      <x:alignment vertical="center"/>
    </x:xf>
    <x:xf numFmtId="201" fontId="10" fillId="8" borderId="13" xfId="0" applyNumberFormat="1" applyFont="1" applyFill="1" applyBorder="1" applyAlignment="1">
      <x:alignment vertical="center"/>
    </x:xf>
    <x:xf numFmtId="203" fontId="10" fillId="8" borderId="13" xfId="0" applyNumberFormat="1" applyFont="1" applyFill="1" applyBorder="1" applyAlignment="1">
      <x:alignment vertical="center"/>
    </x:xf>
    <x:xf numFmtId="203" fontId="10" fillId="8" borderId="1" xfId="0" applyNumberFormat="1" applyFont="1" applyFill="1" applyBorder="1" applyAlignment="1">
      <x:alignment vertical="center"/>
    </x:xf>
    <x:xf numFmtId="204" fontId="10" fillId="0" borderId="14" xfId="0" applyNumberFormat="1" applyFont="1" applyFill="1" applyBorder="1" applyAlignment="1">
      <x:alignment vertical="center"/>
    </x:xf>
    <x:xf numFmtId="204" fontId="10" fillId="0" borderId="6" xfId="0" applyNumberFormat="1" applyFont="1" applyFill="1" applyBorder="1" applyAlignment="1">
      <x:alignment vertical="center"/>
    </x:xf>
    <x:xf numFmtId="0" fontId="10" fillId="8" borderId="5" xfId="0" applyNumberFormat="1" applyFont="1" applyFill="1" applyBorder="1" applyAlignment="1">
      <x:alignment vertical="center"/>
    </x:xf>
    <x:xf numFmtId="200" fontId="10" fillId="8" borderId="14" xfId="0" applyNumberFormat="1" applyFont="1" applyFill="1" applyBorder="1" applyAlignment="1">
      <x:alignment vertical="center"/>
    </x:xf>
    <x:xf numFmtId="0" fontId="10" fillId="8" borderId="14" xfId="0" applyNumberFormat="1" applyFont="1" applyFill="1" applyBorder="1" applyAlignment="1">
      <x:alignment vertical="center"/>
    </x:xf>
    <x:xf numFmtId="201" fontId="10" fillId="8" borderId="14" xfId="0" applyNumberFormat="1" applyFont="1" applyFill="1" applyBorder="1" applyAlignment="1">
      <x:alignment vertical="center"/>
    </x:xf>
    <x:xf numFmtId="203" fontId="10" fillId="8" borderId="14" xfId="0" applyNumberFormat="1" applyFont="1" applyFill="1" applyBorder="1" applyAlignment="1">
      <x:alignment vertical="center"/>
    </x:xf>
    <x:xf numFmtId="203" fontId="10" fillId="8" borderId="6" xfId="0" applyNumberFormat="1" applyFont="1" applyFill="1" applyBorder="1" applyAlignment="1">
      <x:alignment vertical="center"/>
    </x:xf>
    <x:xf numFmtId="203" fontId="10" fillId="0" borderId="4" xfId="0" applyNumberFormat="1" applyFont="1" applyFill="1" applyBorder="1" applyAlignment="1">
      <x:alignment vertical="center"/>
    </x:xf>
    <x:xf numFmtId="203" fontId="10" fillId="0" borderId="1" xfId="0" applyNumberFormat="1" applyFont="1" applyFill="1" applyBorder="1" applyAlignment="1">
      <x:alignment vertical="center"/>
    </x:xf>
    <x:xf numFmtId="203" fontId="10" fillId="0" borderId="6" xfId="0" applyNumberFormat="1" applyFont="1" applyFill="1" applyBorder="1" applyAlignment="1">
      <x:alignment vertical="center"/>
    </x:xf>
    <x:xf numFmtId="0" fontId="10" fillId="4" borderId="6" xfId="0" applyNumberFormat="1" applyFont="1" applyFill="1" applyBorder="1" applyAlignment="1">
      <x:alignment vertical="center"/>
      <x:extLst>
        <x:ext uri="{C7286773-470A-42A8-94C5-96B5CB345126}">
          <xfpb:xfComplement xmlns:xfpb="http://schemas.microsoft.com/office/spreadsheetml/2022/featurepropertybag" i="0"/>
        </x:ext>
      </x:extLst>
    </x:xf>
    <x:xf numFmtId="200" fontId="10" fillId="0" borderId="4"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0" fillId="6" borderId="6" xfId="0" applyNumberFormat="1" applyFont="1" applyFill="1" applyBorder="1" applyAlignment="1">
      <x:alignment vertical="center" wrapText="1"/>
    </x:xf>
    <x:xf numFmtId="0" fontId="10" fillId="6" borderId="7" xfId="0" applyNumberFormat="1" applyFont="1" applyFill="1" applyBorder="1" applyAlignment="1">
      <x:alignment vertical="center" wrapText="1"/>
    </x:xf>
    <x:xf numFmtId="0" fontId="10" fillId="6" borderId="5" xfId="0" applyNumberFormat="1" applyFont="1" applyFill="1" applyBorder="1" applyAlignment="1">
      <x:alignment vertical="center" wrapText="1"/>
    </x:xf>
    <x:xf numFmtId="0" fontId="10" fillId="6" borderId="8" xfId="0" applyNumberFormat="1" applyFont="1" applyFill="1" applyBorder="1" applyAlignment="1">
      <x:alignment vertical="center" wrapText="1"/>
    </x:xf>
    <x:xf numFmtId="0" fontId="10" fillId="6" borderId="0" xfId="0" applyNumberFormat="1" applyFont="1" applyFill="1" applyBorder="1" applyAlignment="1">
      <x:alignment vertical="center" wrapText="1"/>
    </x:xf>
    <x:xf numFmtId="0" fontId="10" fillId="6" borderId="9" xfId="0" applyNumberFormat="1" applyFont="1" applyFill="1" applyBorder="1" applyAlignment="1">
      <x:alignment vertical="center" wrapText="1"/>
    </x:xf>
    <x:xf numFmtId="0" fontId="10" fillId="6" borderId="4" xfId="0" applyNumberFormat="1" applyFont="1" applyFill="1" applyBorder="1" applyAlignment="1">
      <x:alignment vertical="center" wrapText="1"/>
    </x:xf>
    <x:xf numFmtId="0" fontId="10" fillId="6" borderId="10" xfId="0" applyNumberFormat="1" applyFont="1" applyFill="1" applyBorder="1" applyAlignment="1">
      <x:alignment vertical="center" wrapText="1"/>
    </x:xf>
    <x:xf numFmtId="0" fontId="10" fillId="6" borderId="3" xfId="0" applyNumberFormat="1" applyFont="1" applyFill="1" applyBorder="1" applyAlignment="1">
      <x:alignment vertical="center" wrapText="1"/>
    </x:xf>
  </x:cellXfs>
  <x:cellStyles count="1">
    <x:cellStyle name="Normal" xfId="0"/>
  </x:cellStyles>
  <x:dxfs count="4">
    <x:dxf>
      <x:fill>
        <x:patternFill patternType="solid">
          <x:bgColor rgb="FFFFF2CC"/>
        </x:patternFill>
      </x:fill>
    </x:dxf>
    <x:dxf>
      <x:fill>
        <x:patternFill patternType="solid">
          <x:bgColor rgb="FFE2F0D9"/>
        </x:patternFill>
      </x:fill>
    </x:dxf>
    <x:dxf>
      <x:font>
        <x:b/>
      </x:font>
      <x:fill>
        <x:patternFill patternType="solid">
          <x:bgColor rgb="FFE2F0D9"/>
        </x:patternFill>
      </x:fill>
    </x:dxf>
    <x:dxf>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3ecafd616bc40ab" /><Relationship Type="http://schemas.openxmlformats.org/officeDocument/2006/relationships/theme" Target="/xl/theme/theme1.xml" Id="R671e7b64629c41bf" /><Relationship Type="http://schemas.microsoft.com/office/2022/11/relationships/FeaturePropertyBag" Target="/xl/featurePropertyBag/featurePropertyBag.xml" Id="R337f32f99d774016" /><Relationship Type="http://schemas.openxmlformats.org/officeDocument/2006/relationships/sharedStrings" Target="/xl/sharedStrings.xml" Id="Rbb267dd5f3fc4dce" /><Relationship Type="http://schemas.openxmlformats.org/officeDocument/2006/relationships/worksheet" Target="/xl/worksheets/sheet1.xml" Id="R92f3a299b12c442d" /><Relationship Type="http://schemas.openxmlformats.org/officeDocument/2006/relationships/worksheet" Target="/xl/worksheets/sheet2.xml" Id="Rb3fba64f98c74260" /><Relationship Type="http://schemas.openxmlformats.org/officeDocument/2006/relationships/worksheet" Target="/xl/worksheets/sheet3.xml" Id="R69d7025f9f09456f" /><Relationship Type="http://schemas.openxmlformats.org/officeDocument/2006/relationships/worksheet" Target="/xl/worksheets/sheet4.xml" Id="R3dfcf388219d4597" /><Relationship Type="http://schemas.openxmlformats.org/officeDocument/2006/relationships/worksheet" Target="/xl/worksheets/sheet5.xml" Id="R96a989987c854dc3" /></Relationships>
</file>

<file path=xl/drawings/_rels/drawing1.xml.rels>&#65279;<?xml version="1.0" encoding="utf-8"?><Relationships xmlns="http://schemas.openxmlformats.org/package/2006/relationships"><Relationship Type="http://schemas.openxmlformats.org/officeDocument/2006/relationships/chart" Target="/xl/drawings/charts/chart1.xml" Id="R7602dc6422644eb7" /></Relationships>
</file>

<file path=xl/drawings/_rels/drawing2.xml.rels>&#65279;<?xml version="1.0" encoding="utf-8"?><Relationships xmlns="http://schemas.openxmlformats.org/package/2006/relationships"><Relationship Type="http://schemas.openxmlformats.org/officeDocument/2006/relationships/chart" Target="/xl/drawings/charts/chart2.xml" Id="R89a0d037db31469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Model-specific Safety effects</a:t>
            </a:r>
          </a:p>
        </c:rich>
      </c:tx>
      <c:overlay val="0"/>
    </c:title>
    <c:plotArea>
      <c:barChart>
        <c:barDir val="col"/>
        <c:varyColors val="0"/>
        <c:ser>
          <c:idx val="0"/>
          <c:order val="0"/>
          <c:tx>
            <c:v>Condition effect</c:v>
          </c:tx>
          <c:cat>
            <c:strRef>
              <c:f>'Interaction Effects'!$L$5:$L$8</c:f>
              <c:strCache>
                <c:ptCount val="0"/>
              </c:strCache>
            </c:strRef>
          </c:cat>
          <c:val>
            <c:numRef>
              <c:f>'Interaction Effects'!$M$5:$M$8</c:f>
              <c:numCache>
                <c:formatCode>0.0000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Model order is unchanged across score definitions</a:t>
            </a:r>
          </a:p>
        </c:rich>
      </c:tx>
      <c:overlay val="0"/>
    </c:title>
    <c:plotArea>
      <c:lineChart>
        <c:grouping val="standard"/>
        <c:varyColors val="0"/>
        <c:ser>
          <c:idx val="0"/>
          <c:order val="0"/>
          <c:tx>
            <c:v>GPT-4.1-mini</c:v>
          </c:tx>
          <c:marker>
            <c:symbol val="none"/>
          </c:marker>
          <c:cat>
            <c:strRef>
              <c:f>'Alternative Scores'!$O$5:$O$10</c:f>
              <c:strCache>
                <c:ptCount val="0"/>
              </c:strCache>
            </c:strRef>
          </c:cat>
          <c:val>
            <c:numRef>
              <c:f>'Alternative Scores'!$P$5:$P$10</c:f>
              <c:numCache>
                <c:formatCode>0.000</c:formatCode>
                <c:ptCount val="0"/>
              </c:numCache>
            </c:numRef>
          </c:val>
          <c:smooth val="0"/>
        </c:ser>
        <c:ser>
          <c:idx val="1"/>
          <c:order val="1"/>
          <c:tx>
            <c:v>Qwen2.5-7B</c:v>
          </c:tx>
          <c:marker>
            <c:symbol val="none"/>
          </c:marker>
          <c:cat>
            <c:strRef>
              <c:f>'Alternative Scores'!$O$5:$O$10</c:f>
              <c:strCache>
                <c:ptCount val="0"/>
              </c:strCache>
            </c:strRef>
          </c:cat>
          <c:val>
            <c:numRef>
              <c:f>'Alternative Scores'!$Q$5:$Q$10</c:f>
              <c:numCache>
                <c:formatCode>0.000</c:formatCode>
                <c:ptCount val="0"/>
              </c:numCache>
            </c:numRef>
          </c:val>
          <c:smooth val="0"/>
        </c:ser>
        <c:ser>
          <c:idx val="2"/>
          <c:order val="2"/>
          <c:tx>
            <c:v>Claude Haiku 4.5</c:v>
          </c:tx>
          <c:marker>
            <c:symbol val="none"/>
          </c:marker>
          <c:cat>
            <c:strRef>
              <c:f>'Alternative Scores'!$O$5:$O$10</c:f>
              <c:strCache>
                <c:ptCount val="0"/>
              </c:strCache>
            </c:strRef>
          </c:cat>
          <c:val>
            <c:numRef>
              <c:f>'Alternative Scores'!$R$5:$R$10</c:f>
              <c:numCache>
                <c:formatCode>0.000</c:formatCode>
                <c:ptCount val="0"/>
              </c:numCache>
            </c:numRef>
          </c:val>
          <c:smooth val="0"/>
        </c:ser>
        <c:ser>
          <c:idx val="3"/>
          <c:order val="3"/>
          <c:tx>
            <c:v>Llama 3.1-8B</c:v>
          </c:tx>
          <c:marker>
            <c:symbol val="none"/>
          </c:marker>
          <c:cat>
            <c:strRef>
              <c:f>'Alternative Scores'!$O$5:$O$10</c:f>
              <c:strCache>
                <c:ptCount val="0"/>
              </c:strCache>
            </c:strRef>
          </c:cat>
          <c:val>
            <c:numRef>
              <c:f>'Alternative Scores'!$S$5:$S$10</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ax val="0.95"/>
          <c:min val="0.55"/>
        </c:scaling>
        <c:delete val="0"/>
        <c:axPos val="l"/>
        <c:majorGridlines>
          <c:spPr>
            <a:ln xmlns:a="http://schemas.openxmlformats.org/drawingml/2006/main" w="9525">
              <a:solidFill>
                <a:srgbClr val="CCCCCC"/>
              </a:solidFill>
              <a:prstDash val="dash"/>
            </a:ln>
          </c:spPr>
        </c:majorGridlines>
        <c:numFmt formatCode="0.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11</xdr:col>
      <xdr:colOff>0</xdr:colOff>
      <xdr:row>9</xdr:row>
      <xdr:rowOff>0</xdr:rowOff>
    </xdr:from>
    <xdr:to>
      <xdr:col>19</xdr:col>
      <xdr:colOff>0</xdr:colOff>
      <xdr:row>26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602dc6422644eb7"/>
        </a:graphicData>
      </a:graphic>
    </xdr:graphicFrame>
    <xdr:clientData/>
  </xdr:twoCellAnchor>
</xdr:wsDr>
</file>

<file path=xl/drawings/drawing2.xml><?xml version="1.0" encoding="utf-8"?>
<xdr:wsDr xmlns:xdr="http://schemas.openxmlformats.org/drawingml/2006/spreadsheetDrawing">
  <xdr:twoCellAnchor>
    <xdr:from>
      <xdr:col>14</xdr:col>
      <xdr:colOff>0</xdr:colOff>
      <xdr:row>11</xdr:row>
      <xdr:rowOff>0</xdr:rowOff>
    </xdr:from>
    <xdr:to>
      <xdr:col>23</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9a0d037db31469b"/>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4dff96332a4e4b18" /></Relationships>
</file>

<file path=xl/worksheets/_rels/sheet3.xml.rels>&#65279;<?xml version="1.0" encoding="utf-8"?><Relationships xmlns="http://schemas.openxmlformats.org/package/2006/relationships"><Relationship Type="http://schemas.openxmlformats.org/officeDocument/2006/relationships/drawing" Target="/xl/drawings/drawing2.xml" Id="Rf791536c2f0a498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21.600000381469727" hidden="0" customHeight="1">
      <x:c r="A1" s="192" t="str">
        <x:v>SALRM composite-rank robustness analysis</x:v>
      </x:c>
      <x:c r="B1" s="192" t="str">
        <x:v>SALRM composite-rank robustness analysis</x:v>
      </x:c>
      <x:c r="C1" s="192" t="str">
        <x:v>SALRM composite-rank robustness analysis</x:v>
      </x:c>
      <x:c r="D1" s="192" t="str">
        <x:v>SALRM composite-rank robustness analysis</x:v>
      </x:c>
      <x:c r="E1" s="192" t="str">
        <x:v>SALRM composite-rank robustness analysis</x:v>
      </x:c>
      <x:c r="F1" s="192" t="str">
        <x:v>SALRM composite-rank robustness analysis</x:v>
      </x:c>
      <x:c r="G1" s="192" t="str">
        <x:v>SALRM composite-rank robustness analysis</x:v>
      </x:c>
      <x:c r="H1" s="192" t="str">
        <x:v>SALRM composite-rank robustness analysis</x:v>
      </x:c>
    </x:row>
    <x:row r="2" ht="15" hidden="0" customHeight="1">
      <x:c r="A2" s="193" t="str">
        <x:v>Stratified paired-item bootstrap of model-by-condition effects and alternative composite-score rankings | Full experiment | 5,000 iterations</x:v>
      </x:c>
      <x:c r="B2" s="193" t="str">
        <x:v>Stratified paired-item bootstrap of model-by-condition effects and alternative composite-score rankings | Full experiment | 5,000 iterations</x:v>
      </x:c>
      <x:c r="C2" s="193" t="str">
        <x:v>Stratified paired-item bootstrap of model-by-condition effects and alternative composite-score rankings | Full experiment | 5,000 iterations</x:v>
      </x:c>
      <x:c r="D2" s="193" t="str">
        <x:v>Stratified paired-item bootstrap of model-by-condition effects and alternative composite-score rankings | Full experiment | 5,000 iterations</x:v>
      </x:c>
      <x:c r="E2" s="193" t="str">
        <x:v>Stratified paired-item bootstrap of model-by-condition effects and alternative composite-score rankings | Full experiment | 5,000 iterations</x:v>
      </x:c>
      <x:c r="F2" s="193" t="str">
        <x:v>Stratified paired-item bootstrap of model-by-condition effects and alternative composite-score rankings | Full experiment | 5,000 iterations</x:v>
      </x:c>
      <x:c r="G2" s="193" t="str">
        <x:v>Stratified paired-item bootstrap of model-by-condition effects and alternative composite-score rankings | Full experiment | 5,000 iterations</x:v>
      </x:c>
      <x:c r="H2" s="193" t="str">
        <x:v>Stratified paired-item bootstrap of model-by-condition effects and alternative composite-score rankings | Full experiment | 5,000 iterations</x:v>
      </x:c>
    </x:row>
    <x:row r="3" ht="15" hidden="0" customHeight="1">
      <x:c r="A3" s="194"/>
      <x:c r="B3" s="194"/>
      <x:c r="C3" s="194"/>
      <x:c r="D3" s="194"/>
      <x:c r="E3" s="194"/>
      <x:c r="F3" s="194"/>
      <x:c r="G3" s="194"/>
      <x:c r="H3" s="194"/>
    </x:row>
    <x:row r="4" ht="15" hidden="0" customHeight="1">
      <x:c r="A4" s="195" t="str">
        <x:v>Robustness indicator</x:v>
      </x:c>
      <x:c r="B4" s="196" t="str">
        <x:v>Result</x:v>
      </x:c>
      <x:c r="C4" s="194"/>
      <x:c r="D4" s="197" t="str">
        <x:v>Main conclusion</x:v>
      </x:c>
      <x:c r="E4" s="197" t="str">
        <x:v>Main conclusion</x:v>
      </x:c>
      <x:c r="F4" s="197" t="str">
        <x:v>Main conclusion</x:v>
      </x:c>
      <x:c r="G4" s="197" t="str">
        <x:v>Main conclusion</x:v>
      </x:c>
      <x:c r="H4" s="197" t="str">
        <x:v>Main conclusion</x:v>
      </x:c>
    </x:row>
    <x:row r="5" ht="15" hidden="0" customHeight="1">
      <x:c r="A5" s="198" t="str">
        <x:v>Omnibus interaction</x:v>
      </x:c>
      <x:c r="B5" s="199" t="str">
        <x:v>chi-square(3) = 24.45, p = 2.01e-5</x:v>
      </x:c>
      <x:c r="C5" s="194"/>
      <x:c r="D5" s="200" t="str">
        <x:v>Model-specific Safety effects were heterogeneous. Reliability increased for all four models, but the gains for Claude and Llama were significantly larger than GPT's. GPT-Qwen and Claude-Llama effect differences remained uncertain. The composite order GPT &gt; Qwen &gt; Claude &gt; Llama was retained under all six score definitions and in every one of the 5,000 bootstrap draws.</x:v>
      </x:c>
      <x:c r="E5" s="201" t="str">
        <x:v>Model-specific Safety effects were heterogeneous. Reliability increased for all four models, but the gains for Claude and Llama were significantly larger than GPT's. GPT-Qwen and Claude-Llama effect differences remained uncertain. The composite order GPT &gt; Qwen &gt; Claude &gt; Llama was retained under all six score definitions and in every one of the 5,000 bootstrap draws.</x:v>
      </x:c>
      <x:c r="F5" s="201" t="str">
        <x:v>Model-specific Safety effects were heterogeneous. Reliability increased for all four models, but the gains for Claude and Llama were significantly larger than GPT's. GPT-Qwen and Claude-Llama effect differences remained uncertain. The composite order GPT &gt; Qwen &gt; Claude &gt; Llama was retained under all six score definitions and in every one of the 5,000 bootstrap draws.</x:v>
      </x:c>
      <x:c r="G5" s="201" t="str">
        <x:v>Model-specific Safety effects were heterogeneous. Reliability increased for all four models, but the gains for Claude and Llama were significantly larger than GPT's. GPT-Qwen and Claude-Llama effect differences remained uncertain. The composite order GPT &gt; Qwen &gt; Claude &gt; Llama was retained under all six score definitions and in every one of the 5,000 bootstrap draws.</x:v>
      </x:c>
      <x:c r="H5" s="202" t="str">
        <x:v>Model-specific Safety effects were heterogeneous. Reliability increased for all four models, but the gains for Claude and Llama were significantly larger than GPT's. GPT-Qwen and Claude-Llama effect differences remained uncertain. The composite order GPT &gt; Qwen &gt; Claude &gt; Llama was retained under all six score definitions and in every one of the 5,000 bootstrap draws.</x:v>
      </x:c>
    </x:row>
    <x:row r="6" ht="15" hidden="0" customHeight="1">
      <x:c r="A6" s="203" t="str">
        <x:v>Alternative definitions</x:v>
      </x:c>
      <x:c r="B6" s="204" t="str">
        <x:v>6</x:v>
      </x:c>
      <x:c r="C6" s="194"/>
      <x:c r="D6" s="205" t="str">
        <x:v>Model-specific Safety effects were heterogeneous. Reliability increased for all four models, but the gains for Claude and Llama were significantly larger than GPT's. GPT-Qwen and Claude-Llama effect differences remained uncertain. The composite order GPT &gt; Qwen &gt; Claude &gt; Llama was retained under all six score definitions and in every one of the 5,000 bootstrap draws.</x:v>
      </x:c>
      <x:c r="E6" s="206" t="str">
        <x:v>Model-specific Safety effects were heterogeneous. Reliability increased for all four models, but the gains for Claude and Llama were significantly larger than GPT's. GPT-Qwen and Claude-Llama effect differences remained uncertain. The composite order GPT &gt; Qwen &gt; Claude &gt; Llama was retained under all six score definitions and in every one of the 5,000 bootstrap draws.</x:v>
      </x:c>
      <x:c r="F6" s="206" t="str">
        <x:v>Model-specific Safety effects were heterogeneous. Reliability increased for all four models, but the gains for Claude and Llama were significantly larger than GPT's. GPT-Qwen and Claude-Llama effect differences remained uncertain. The composite order GPT &gt; Qwen &gt; Claude &gt; Llama was retained under all six score definitions and in every one of the 5,000 bootstrap draws.</x:v>
      </x:c>
      <x:c r="G6" s="206" t="str">
        <x:v>Model-specific Safety effects were heterogeneous. Reliability increased for all four models, but the gains for Claude and Llama were significantly larger than GPT's. GPT-Qwen and Claude-Llama effect differences remained uncertain. The composite order GPT &gt; Qwen &gt; Claude &gt; Llama was retained under all six score definitions and in every one of the 5,000 bootstrap draws.</x:v>
      </x:c>
      <x:c r="H6" s="207" t="str">
        <x:v>Model-specific Safety effects were heterogeneous. Reliability increased for all four models, but the gains for Claude and Llama were significantly larger than GPT's. GPT-Qwen and Claude-Llama effect differences remained uncertain. The composite order GPT &gt; Qwen &gt; Claude &gt; Llama was retained under all six score definitions and in every one of the 5,000 bootstrap draws.</x:v>
      </x:c>
    </x:row>
    <x:row r="7" ht="15" hidden="0" customHeight="1">
      <x:c r="A7" s="203" t="str">
        <x:v>Definitions retaining full order</x:v>
      </x:c>
      <x:c r="B7" s="204" t="str">
        <x:v>6/6</x:v>
      </x:c>
      <x:c r="C7" s="194"/>
      <x:c r="D7" s="205" t="str">
        <x:v>Model-specific Safety effects were heterogeneous. Reliability increased for all four models, but the gains for Claude and Llama were significantly larger than GPT's. GPT-Qwen and Claude-Llama effect differences remained uncertain. The composite order GPT &gt; Qwen &gt; Claude &gt; Llama was retained under all six score definitions and in every one of the 5,000 bootstrap draws.</x:v>
      </x:c>
      <x:c r="E7" s="206" t="str">
        <x:v>Model-specific Safety effects were heterogeneous. Reliability increased for all four models, but the gains for Claude and Llama were significantly larger than GPT's. GPT-Qwen and Claude-Llama effect differences remained uncertain. The composite order GPT &gt; Qwen &gt; Claude &gt; Llama was retained under all six score definitions and in every one of the 5,000 bootstrap draws.</x:v>
      </x:c>
      <x:c r="F7" s="206" t="str">
        <x:v>Model-specific Safety effects were heterogeneous. Reliability increased for all four models, but the gains for Claude and Llama were significantly larger than GPT's. GPT-Qwen and Claude-Llama effect differences remained uncertain. The composite order GPT &gt; Qwen &gt; Claude &gt; Llama was retained under all six score definitions and in every one of the 5,000 bootstrap draws.</x:v>
      </x:c>
      <x:c r="G7" s="206" t="str">
        <x:v>Model-specific Safety effects were heterogeneous. Reliability increased for all four models, but the gains for Claude and Llama were significantly larger than GPT's. GPT-Qwen and Claude-Llama effect differences remained uncertain. The composite order GPT &gt; Qwen &gt; Claude &gt; Llama was retained under all six score definitions and in every one of the 5,000 bootstrap draws.</x:v>
      </x:c>
      <x:c r="H7" s="207" t="str">
        <x:v>Model-specific Safety effects were heterogeneous. Reliability increased for all four models, but the gains for Claude and Llama were significantly larger than GPT's. GPT-Qwen and Claude-Llama effect differences remained uncertain. The composite order GPT &gt; Qwen &gt; Claude &gt; Llama was retained under all six score definitions and in every one of the 5,000 bootstrap draws.</x:v>
      </x:c>
    </x:row>
    <x:row r="8" ht="15" hidden="0" customHeight="1">
      <x:c r="A8" s="203" t="str">
        <x:v>GPT rank-1 observations</x:v>
      </x:c>
      <x:c r="B8" s="204" t="str">
        <x:v>30,000/30,000 definition-draws</x:v>
      </x:c>
      <x:c r="C8" s="194"/>
      <x:c r="D8" s="205" t="str">
        <x:v>Model-specific Safety effects were heterogeneous. Reliability increased for all four models, but the gains for Claude and Llama were significantly larger than GPT's. GPT-Qwen and Claude-Llama effect differences remained uncertain. The composite order GPT &gt; Qwen &gt; Claude &gt; Llama was retained under all six score definitions and in every one of the 5,000 bootstrap draws.</x:v>
      </x:c>
      <x:c r="E8" s="206" t="str">
        <x:v>Model-specific Safety effects were heterogeneous. Reliability increased for all four models, but the gains for Claude and Llama were significantly larger than GPT's. GPT-Qwen and Claude-Llama effect differences remained uncertain. The composite order GPT &gt; Qwen &gt; Claude &gt; Llama was retained under all six score definitions and in every one of the 5,000 bootstrap draws.</x:v>
      </x:c>
      <x:c r="F8" s="206" t="str">
        <x:v>Model-specific Safety effects were heterogeneous. Reliability increased for all four models, but the gains for Claude and Llama were significantly larger than GPT's. GPT-Qwen and Claude-Llama effect differences remained uncertain. The composite order GPT &gt; Qwen &gt; Claude &gt; Llama was retained under all six score definitions and in every one of the 5,000 bootstrap draws.</x:v>
      </x:c>
      <x:c r="G8" s="206" t="str">
        <x:v>Model-specific Safety effects were heterogeneous. Reliability increased for all four models, but the gains for Claude and Llama were significantly larger than GPT's. GPT-Qwen and Claude-Llama effect differences remained uncertain. The composite order GPT &gt; Qwen &gt; Claude &gt; Llama was retained under all six score definitions and in every one of the 5,000 bootstrap draws.</x:v>
      </x:c>
      <x:c r="H8" s="207" t="str">
        <x:v>Model-specific Safety effects were heterogeneous. Reliability increased for all four models, but the gains for Claude and Llama were significantly larger than GPT's. GPT-Qwen and Claude-Llama effect differences remained uncertain. The composite order GPT &gt; Qwen &gt; Claude &gt; Llama was retained under all six score definitions and in every one of the 5,000 bootstrap draws.</x:v>
      </x:c>
    </x:row>
    <x:row r="9" ht="15" hidden="0" customHeight="1">
      <x:c r="A9" s="208" t="str">
        <x:v>Observed rank reversals</x:v>
      </x:c>
      <x:c r="B9" s="209" t="str">
        <x:v>0</x:v>
      </x:c>
      <x:c r="C9" s="194"/>
      <x:c r="D9" s="210" t="str">
        <x:v>Model-specific Safety effects were heterogeneous. Reliability increased for all four models, but the gains for Claude and Llama were significantly larger than GPT's. GPT-Qwen and Claude-Llama effect differences remained uncertain. The composite order GPT &gt; Qwen &gt; Claude &gt; Llama was retained under all six score definitions and in every one of the 5,000 bootstrap draws.</x:v>
      </x:c>
      <x:c r="E9" s="211" t="str">
        <x:v>Model-specific Safety effects were heterogeneous. Reliability increased for all four models, but the gains for Claude and Llama were significantly larger than GPT's. GPT-Qwen and Claude-Llama effect differences remained uncertain. The composite order GPT &gt; Qwen &gt; Claude &gt; Llama was retained under all six score definitions and in every one of the 5,000 bootstrap draws.</x:v>
      </x:c>
      <x:c r="F9" s="211" t="str">
        <x:v>Model-specific Safety effects were heterogeneous. Reliability increased for all four models, but the gains for Claude and Llama were significantly larger than GPT's. GPT-Qwen and Claude-Llama effect differences remained uncertain. The composite order GPT &gt; Qwen &gt; Claude &gt; Llama was retained under all six score definitions and in every one of the 5,000 bootstrap draws.</x:v>
      </x:c>
      <x:c r="G9" s="211" t="str">
        <x:v>Model-specific Safety effects were heterogeneous. Reliability increased for all four models, but the gains for Claude and Llama were significantly larger than GPT's. GPT-Qwen and Claude-Llama effect differences remained uncertain. The composite order GPT &gt; Qwen &gt; Claude &gt; Llama was retained under all six score definitions and in every one of the 5,000 bootstrap draws.</x:v>
      </x:c>
      <x:c r="H9" s="212" t="str">
        <x:v>Model-specific Safety effects were heterogeneous. Reliability increased for all four models, but the gains for Claude and Llama were significantly larger than GPT's. GPT-Qwen and Claude-Llama effect differences remained uncertain. The composite order GPT &gt; Qwen &gt; Claude &gt; Llama was retained under all six score definitions and in every one of the 5,000 bootstrap draws.</x:v>
      </x:c>
    </x:row>
    <x:row r="10" ht="15" hidden="0" customHeight="1">
      <x:c r="A10" s="194"/>
      <x:c r="B10" s="194"/>
      <x:c r="C10" s="194"/>
      <x:c r="D10" s="194"/>
      <x:c r="E10" s="194"/>
      <x:c r="F10" s="194"/>
      <x:c r="G10" s="194"/>
      <x:c r="H10" s="194"/>
    </x:row>
    <x:row r="11" ht="15" hidden="0" customHeight="1">
      <x:c r="A11" s="197" t="str">
        <x:v>Model-specific Safety - Baseline effects</x:v>
      </x:c>
      <x:c r="B11" s="197" t="str">
        <x:v>Model-specific Safety - Baseline effects</x:v>
      </x:c>
      <x:c r="C11" s="197" t="str">
        <x:v>Model-specific Safety - Baseline effects</x:v>
      </x:c>
      <x:c r="D11" s="197" t="str">
        <x:v>Model-specific Safety - Baseline effects</x:v>
      </x:c>
      <x:c r="E11" s="197" t="str">
        <x:v>Model-specific Safety - Baseline effects</x:v>
      </x:c>
      <x:c r="F11" s="197" t="str">
        <x:v>Model-specific Safety - Baseline effects</x:v>
      </x:c>
      <x:c r="G11" s="197" t="str">
        <x:v>Model-specific Safety - Baseline effects</x:v>
      </x:c>
      <x:c r="H11" s="197" t="str">
        <x:v>Model-specific Safety - Baseline effects</x:v>
      </x:c>
    </x:row>
    <x:row r="12" ht="15" hidden="0" customHeight="1">
      <x:c r="A12" s="195" t="str">
        <x:v>Model</x:v>
      </x:c>
      <x:c r="B12" s="213" t="str">
        <x:v>Estimate</x:v>
      </x:c>
      <x:c r="C12" s="213" t="str">
        <x:v>95% CI low</x:v>
      </x:c>
      <x:c r="D12" s="213" t="str">
        <x:v>95% CI high</x:v>
      </x:c>
      <x:c r="E12" s="213" t="str">
        <x:v>P(effect &gt; 0)</x:v>
      </x:c>
      <x:c r="F12" s="196" t="str">
        <x:v>Decision</x:v>
      </x:c>
      <x:c r="G12" s="194"/>
      <x:c r="H12" s="194"/>
    </x:row>
    <x:row r="13" ht="15" hidden="0" customHeight="1">
      <x:c r="A13" s="198" t="str">
        <x:v>GPT-4.1-mini</x:v>
      </x:c>
      <x:c r="B13" s="214" t="n">
        <x:v>0.01169184653084221</x:v>
      </x:c>
      <x:c r="C13" s="214" t="n">
        <x:v>0.0051264890976029905</x:v>
      </x:c>
      <x:c r="D13" s="214" t="n">
        <x:v>0.018359056724592072</x:v>
      </x:c>
      <x:c r="E13" s="214" t="n">
        <x:v>1</x:v>
      </x:c>
      <x:c r="F13" s="199" t="str">
        <x:v>Positive</x:v>
      </x:c>
      <x:c r="G13" s="194"/>
      <x:c r="H13" s="194"/>
    </x:row>
    <x:row r="14" ht="15" hidden="0" customHeight="1">
      <x:c r="A14" s="203" t="str">
        <x:v>Qwen2.5-7B</x:v>
      </x:c>
      <x:c r="B14" s="215" t="n">
        <x:v>0.01910659370134915</x:v>
      </x:c>
      <x:c r="C14" s="215" t="n">
        <x:v>0.007792754741722791</x:v>
      </x:c>
      <x:c r="D14" s="215" t="n">
        <x:v>0.030390063748882774</x:v>
      </x:c>
      <x:c r="E14" s="215" t="n">
        <x:v>0.9994</x:v>
      </x:c>
      <x:c r="F14" s="204" t="str">
        <x:v>Positive</x:v>
      </x:c>
      <x:c r="G14" s="194"/>
      <x:c r="H14" s="194"/>
    </x:row>
    <x:row r="15" ht="15" hidden="0" customHeight="1">
      <x:c r="A15" s="203" t="str">
        <x:v>Claude Haiku 4.5</x:v>
      </x:c>
      <x:c r="B15" s="215" t="n">
        <x:v>0.04084806164418153</x:v>
      </x:c>
      <x:c r="C15" s="215" t="n">
        <x:v>0.02859673562367438</x:v>
      </x:c>
      <x:c r="D15" s="215" t="n">
        <x:v>0.05323907505395564</x:v>
      </x:c>
      <x:c r="E15" s="215" t="n">
        <x:v>1</x:v>
      </x:c>
      <x:c r="F15" s="204" t="str">
        <x:v>Positive</x:v>
      </x:c>
      <x:c r="G15" s="194"/>
      <x:c r="H15" s="194"/>
    </x:row>
    <x:row r="16" ht="15" hidden="0" customHeight="1">
      <x:c r="A16" s="208" t="str">
        <x:v>Llama 3.1-8B</x:v>
      </x:c>
      <x:c r="B16" s="216" t="n">
        <x:v>0.04144258880406926</x:v>
      </x:c>
      <x:c r="C16" s="216" t="n">
        <x:v>0.023129330654383395</x:v>
      </x:c>
      <x:c r="D16" s="216" t="n">
        <x:v>0.06006459602598953</x:v>
      </x:c>
      <x:c r="E16" s="216" t="n">
        <x:v>1</x:v>
      </x:c>
      <x:c r="F16" s="209" t="str">
        <x:v>Positive</x:v>
      </x:c>
      <x:c r="G16" s="194"/>
      <x:c r="H16" s="194"/>
    </x:row>
    <x:row r="17" ht="15" hidden="0" customHeight="1">
      <x:c r="A17" s="194"/>
      <x:c r="B17" s="194"/>
      <x:c r="C17" s="194"/>
      <x:c r="D17" s="194"/>
      <x:c r="E17" s="194"/>
      <x:c r="F17" s="194"/>
      <x:c r="G17" s="194"/>
      <x:c r="H17" s="194"/>
    </x:row>
    <x:row r="18" ht="15" hidden="0" customHeight="1">
      <x:c r="A18" s="197" t="str">
        <x:v>Composite rank by alternative definition</x:v>
      </x:c>
      <x:c r="B18" s="197" t="str">
        <x:v>Composite rank by alternative definition</x:v>
      </x:c>
      <x:c r="C18" s="197" t="str">
        <x:v>Composite rank by alternative definition</x:v>
      </x:c>
      <x:c r="D18" s="197" t="str">
        <x:v>Composite rank by alternative definition</x:v>
      </x:c>
      <x:c r="E18" s="197" t="str">
        <x:v>Composite rank by alternative definition</x:v>
      </x:c>
      <x:c r="F18" s="197" t="str">
        <x:v>Composite rank by alternative definition</x:v>
      </x:c>
      <x:c r="G18" s="197" t="str">
        <x:v>Composite rank by alternative definition</x:v>
      </x:c>
      <x:c r="H18" s="197" t="str">
        <x:v>Composite rank by alternative definition</x:v>
      </x:c>
    </x:row>
    <x:row r="19" ht="15" hidden="0" customHeight="1">
      <x:c r="A19" s="195" t="str">
        <x:v>Score definition</x:v>
      </x:c>
      <x:c r="B19" s="213" t="str">
        <x:v>Rank 1</x:v>
      </x:c>
      <x:c r="C19" s="213" t="str">
        <x:v>Rank 2</x:v>
      </x:c>
      <x:c r="D19" s="213" t="str">
        <x:v>Rank 3</x:v>
      </x:c>
      <x:c r="E19" s="196" t="str">
        <x:v>Rank 4</x:v>
      </x:c>
      <x:c r="F19" s="194"/>
      <x:c r="G19" s="194"/>
      <x:c r="H19" s="194"/>
    </x:row>
    <x:row r="20" ht="15" hidden="0" customHeight="1">
      <x:c r="A20" s="198" t="str">
        <x:v>Baseline only</x:v>
      </x:c>
      <x:c r="B20" s="217" t="str">
        <x:v>GPT-4.1-mini</x:v>
      </x:c>
      <x:c r="C20" s="218" t="str">
        <x:v>Qwen2.5-7B</x:v>
      </x:c>
      <x:c r="D20" s="218" t="str">
        <x:v>Claude Haiku 4.5</x:v>
      </x:c>
      <x:c r="E20" s="219" t="str">
        <x:v>Llama 3.1-8B</x:v>
      </x:c>
      <x:c r="F20" s="194"/>
      <x:c r="G20" s="194"/>
      <x:c r="H20" s="194"/>
    </x:row>
    <x:row r="21" ht="15" hidden="0" customHeight="1">
      <x:c r="A21" s="203" t="str">
        <x:v>Arithmetic mean</x:v>
      </x:c>
      <x:c r="B21" s="220" t="str">
        <x:v>GPT-4.1-mini</x:v>
      </x:c>
      <x:c r="C21" s="221" t="str">
        <x:v>Qwen2.5-7B</x:v>
      </x:c>
      <x:c r="D21" s="221" t="str">
        <x:v>Claude Haiku 4.5</x:v>
      </x:c>
      <x:c r="E21" s="222" t="str">
        <x:v>Llama 3.1-8B</x:v>
      </x:c>
      <x:c r="F21" s="194"/>
      <x:c r="G21" s="194"/>
      <x:c r="H21" s="194"/>
    </x:row>
    <x:row r="22" ht="15" hidden="0" customHeight="1">
      <x:c r="A22" s="203" t="str">
        <x:v>Geometric mean</x:v>
      </x:c>
      <x:c r="B22" s="220" t="str">
        <x:v>GPT-4.1-mini</x:v>
      </x:c>
      <x:c r="C22" s="221" t="str">
        <x:v>Qwen2.5-7B</x:v>
      </x:c>
      <x:c r="D22" s="221" t="str">
        <x:v>Claude Haiku 4.5</x:v>
      </x:c>
      <x:c r="E22" s="222" t="str">
        <x:v>Llama 3.1-8B</x:v>
      </x:c>
      <x:c r="F22" s="194"/>
      <x:c r="G22" s="194"/>
      <x:c r="H22" s="194"/>
    </x:row>
    <x:row r="23" ht="15" hidden="0" customHeight="1">
      <x:c r="A23" s="203" t="str">
        <x:v>Worst condition</x:v>
      </x:c>
      <x:c r="B23" s="220" t="str">
        <x:v>GPT-4.1-mini</x:v>
      </x:c>
      <x:c r="C23" s="221" t="str">
        <x:v>Qwen2.5-7B</x:v>
      </x:c>
      <x:c r="D23" s="221" t="str">
        <x:v>Claude Haiku 4.5</x:v>
      </x:c>
      <x:c r="E23" s="222" t="str">
        <x:v>Llama 3.1-8B</x:v>
      </x:c>
      <x:c r="F23" s="194"/>
      <x:c r="G23" s="194"/>
      <x:c r="H23" s="194"/>
    </x:row>
    <x:row r="24" ht="15" hidden="0" customHeight="1">
      <x:c r="A24" s="203" t="str">
        <x:v>Multiplicative penalty</x:v>
      </x:c>
      <x:c r="B24" s="220" t="str">
        <x:v>GPT-4.1-mini</x:v>
      </x:c>
      <x:c r="C24" s="221" t="str">
        <x:v>Qwen2.5-7B</x:v>
      </x:c>
      <x:c r="D24" s="221" t="str">
        <x:v>Claude Haiku 4.5</x:v>
      </x:c>
      <x:c r="E24" s="222" t="str">
        <x:v>Llama 3.1-8B</x:v>
      </x:c>
      <x:c r="F24" s="194"/>
      <x:c r="G24" s="194"/>
      <x:c r="H24" s="194"/>
    </x:row>
    <x:row r="25" ht="15" hidden="0" customHeight="1">
      <x:c r="A25" s="208" t="str">
        <x:v>Additive penalty</x:v>
      </x:c>
      <x:c r="B25" s="223" t="str">
        <x:v>GPT-4.1-mini</x:v>
      </x:c>
      <x:c r="C25" s="224" t="str">
        <x:v>Qwen2.5-7B</x:v>
      </x:c>
      <x:c r="D25" s="224" t="str">
        <x:v>Claude Haiku 4.5</x:v>
      </x:c>
      <x:c r="E25" s="225" t="str">
        <x:v>Llama 3.1-8B</x:v>
      </x:c>
      <x:c r="F25" s="194"/>
      <x:c r="G25" s="194"/>
      <x:c r="H25" s="194"/>
    </x:row>
    <x:row r="26" ht="15" hidden="0" customHeight="1">
      <x:c r="A26" s="194"/>
      <x:c r="B26" s="194"/>
      <x:c r="C26" s="194"/>
      <x:c r="D26" s="194"/>
      <x:c r="E26" s="194"/>
      <x:c r="F26" s="194"/>
      <x:c r="G26" s="194"/>
      <x:c r="H26" s="194"/>
    </x:row>
    <x:row r="27" ht="15" hidden="0" customHeight="1">
      <x:c r="A27" s="197" t="str">
        <x:v>Interpretation boundary</x:v>
      </x:c>
      <x:c r="B27" s="197" t="str">
        <x:v>Interpretation boundary</x:v>
      </x:c>
      <x:c r="C27" s="197" t="str">
        <x:v>Interpretation boundary</x:v>
      </x:c>
      <x:c r="D27" s="197" t="str">
        <x:v>Interpretation boundary</x:v>
      </x:c>
      <x:c r="E27" s="197" t="str">
        <x:v>Interpretation boundary</x:v>
      </x:c>
      <x:c r="F27" s="197" t="str">
        <x:v>Interpretation boundary</x:v>
      </x:c>
      <x:c r="G27" s="197" t="str">
        <x:v>Interpretation boundary</x:v>
      </x:c>
      <x:c r="H27" s="197" t="str">
        <x:v>Interpretation boundary</x:v>
      </x:c>
    </x:row>
    <x:row r="28">
      <x:c r="A28" s="226" t="str">
        <x:v>A rank-1 probability of 1.000 means that no reversal was observed in 5,000 bootstrap samples; it is not an absolute probability of 100%. Items were jointly resampled within benchmark to preserve model-condition pairing. Point estimates retain the final converged VB results, while uncertainty is propagated from bootstrap deviations of the matched quadrature-MAP refit.</x:v>
      </x:c>
      <x:c r="B28" s="227" t="str">
        <x:v>A rank-1 probability of 1.000 means that no reversal was observed in 5,000 bootstrap samples; it is not an absolute probability of 100%. Items were jointly resampled within benchmark to preserve model-condition pairing. Point estimates retain the final converged VB results, while uncertainty is propagated from bootstrap deviations of the matched quadrature-MAP refit.</x:v>
      </x:c>
      <x:c r="C28" s="227" t="str">
        <x:v>A rank-1 probability of 1.000 means that no reversal was observed in 5,000 bootstrap samples; it is not an absolute probability of 100%. Items were jointly resampled within benchmark to preserve model-condition pairing. Point estimates retain the final converged VB results, while uncertainty is propagated from bootstrap deviations of the matched quadrature-MAP refit.</x:v>
      </x:c>
      <x:c r="D28" s="227" t="str">
        <x:v>A rank-1 probability of 1.000 means that no reversal was observed in 5,000 bootstrap samples; it is not an absolute probability of 100%. Items were jointly resampled within benchmark to preserve model-condition pairing. Point estimates retain the final converged VB results, while uncertainty is propagated from bootstrap deviations of the matched quadrature-MAP refit.</x:v>
      </x:c>
      <x:c r="E28" s="227" t="str">
        <x:v>A rank-1 probability of 1.000 means that no reversal was observed in 5,000 bootstrap samples; it is not an absolute probability of 100%. Items were jointly resampled within benchmark to preserve model-condition pairing. Point estimates retain the final converged VB results, while uncertainty is propagated from bootstrap deviations of the matched quadrature-MAP refit.</x:v>
      </x:c>
      <x:c r="F28" s="227" t="str">
        <x:v>A rank-1 probability of 1.000 means that no reversal was observed in 5,000 bootstrap samples; it is not an absolute probability of 100%. Items were jointly resampled within benchmark to preserve model-condition pairing. Point estimates retain the final converged VB results, while uncertainty is propagated from bootstrap deviations of the matched quadrature-MAP refit.</x:v>
      </x:c>
      <x:c r="G28" s="227" t="str">
        <x:v>A rank-1 probability of 1.000 means that no reversal was observed in 5,000 bootstrap samples; it is not an absolute probability of 100%. Items were jointly resampled within benchmark to preserve model-condition pairing. Point estimates retain the final converged VB results, while uncertainty is propagated from bootstrap deviations of the matched quadrature-MAP refit.</x:v>
      </x:c>
      <x:c r="H28" s="228" t="str">
        <x:v>A rank-1 probability of 1.000 means that no reversal was observed in 5,000 bootstrap samples; it is not an absolute probability of 100%. Items were jointly resampled within benchmark to preserve model-condition pairing. Point estimates retain the final converged VB results, while uncertainty is propagated from bootstrap deviations of the matched quadrature-MAP refit.</x:v>
      </x:c>
    </x:row>
    <x:row r="29">
      <x:c r="A29" s="229" t="str">
        <x:v>A rank-1 probability of 1.000 means that no reversal was observed in 5,000 bootstrap samples; it is not an absolute probability of 100%. Items were jointly resampled within benchmark to preserve model-condition pairing. Point estimates retain the final converged VB results, while uncertainty is propagated from bootstrap deviations of the matched quadrature-MAP refit.</x:v>
      </x:c>
      <x:c r="B29" s="230" t="str">
        <x:v>A rank-1 probability of 1.000 means that no reversal was observed in 5,000 bootstrap samples; it is not an absolute probability of 100%. Items were jointly resampled within benchmark to preserve model-condition pairing. Point estimates retain the final converged VB results, while uncertainty is propagated from bootstrap deviations of the matched quadrature-MAP refit.</x:v>
      </x:c>
      <x:c r="C29" s="230" t="str">
        <x:v>A rank-1 probability of 1.000 means that no reversal was observed in 5,000 bootstrap samples; it is not an absolute probability of 100%. Items were jointly resampled within benchmark to preserve model-condition pairing. Point estimates retain the final converged VB results, while uncertainty is propagated from bootstrap deviations of the matched quadrature-MAP refit.</x:v>
      </x:c>
      <x:c r="D29" s="230" t="str">
        <x:v>A rank-1 probability of 1.000 means that no reversal was observed in 5,000 bootstrap samples; it is not an absolute probability of 100%. Items were jointly resampled within benchmark to preserve model-condition pairing. Point estimates retain the final converged VB results, while uncertainty is propagated from bootstrap deviations of the matched quadrature-MAP refit.</x:v>
      </x:c>
      <x:c r="E29" s="230" t="str">
        <x:v>A rank-1 probability of 1.000 means that no reversal was observed in 5,000 bootstrap samples; it is not an absolute probability of 100%. Items were jointly resampled within benchmark to preserve model-condition pairing. Point estimates retain the final converged VB results, while uncertainty is propagated from bootstrap deviations of the matched quadrature-MAP refit.</x:v>
      </x:c>
      <x:c r="F29" s="230" t="str">
        <x:v>A rank-1 probability of 1.000 means that no reversal was observed in 5,000 bootstrap samples; it is not an absolute probability of 100%. Items were jointly resampled within benchmark to preserve model-condition pairing. Point estimates retain the final converged VB results, while uncertainty is propagated from bootstrap deviations of the matched quadrature-MAP refit.</x:v>
      </x:c>
      <x:c r="G29" s="230" t="str">
        <x:v>A rank-1 probability of 1.000 means that no reversal was observed in 5,000 bootstrap samples; it is not an absolute probability of 100%. Items were jointly resampled within benchmark to preserve model-condition pairing. Point estimates retain the final converged VB results, while uncertainty is propagated from bootstrap deviations of the matched quadrature-MAP refit.</x:v>
      </x:c>
      <x:c r="H29" s="231" t="str">
        <x:v>A rank-1 probability of 1.000 means that no reversal was observed in 5,000 bootstrap samples; it is not an absolute probability of 100%. Items were jointly resampled within benchmark to preserve model-condition pairing. Point estimates retain the final converged VB results, while uncertainty is propagated from bootstrap deviations of the matched quadrature-MAP refit.</x:v>
      </x:c>
    </x:row>
    <x:row r="30">
      <x:c r="A30" s="232" t="str">
        <x:v>A rank-1 probability of 1.000 means that no reversal was observed in 5,000 bootstrap samples; it is not an absolute probability of 100%. Items were jointly resampled within benchmark to preserve model-condition pairing. Point estimates retain the final converged VB results, while uncertainty is propagated from bootstrap deviations of the matched quadrature-MAP refit.</x:v>
      </x:c>
      <x:c r="B30" s="233" t="str">
        <x:v>A rank-1 probability of 1.000 means that no reversal was observed in 5,000 bootstrap samples; it is not an absolute probability of 100%. Items were jointly resampled within benchmark to preserve model-condition pairing. Point estimates retain the final converged VB results, while uncertainty is propagated from bootstrap deviations of the matched quadrature-MAP refit.</x:v>
      </x:c>
      <x:c r="C30" s="233" t="str">
        <x:v>A rank-1 probability of 1.000 means that no reversal was observed in 5,000 bootstrap samples; it is not an absolute probability of 100%. Items were jointly resampled within benchmark to preserve model-condition pairing. Point estimates retain the final converged VB results, while uncertainty is propagated from bootstrap deviations of the matched quadrature-MAP refit.</x:v>
      </x:c>
      <x:c r="D30" s="233" t="str">
        <x:v>A rank-1 probability of 1.000 means that no reversal was observed in 5,000 bootstrap samples; it is not an absolute probability of 100%. Items were jointly resampled within benchmark to preserve model-condition pairing. Point estimates retain the final converged VB results, while uncertainty is propagated from bootstrap deviations of the matched quadrature-MAP refit.</x:v>
      </x:c>
      <x:c r="E30" s="233" t="str">
        <x:v>A rank-1 probability of 1.000 means that no reversal was observed in 5,000 bootstrap samples; it is not an absolute probability of 100%. Items were jointly resampled within benchmark to preserve model-condition pairing. Point estimates retain the final converged VB results, while uncertainty is propagated from bootstrap deviations of the matched quadrature-MAP refit.</x:v>
      </x:c>
      <x:c r="F30" s="233" t="str">
        <x:v>A rank-1 probability of 1.000 means that no reversal was observed in 5,000 bootstrap samples; it is not an absolute probability of 100%. Items were jointly resampled within benchmark to preserve model-condition pairing. Point estimates retain the final converged VB results, while uncertainty is propagated from bootstrap deviations of the matched quadrature-MAP refit.</x:v>
      </x:c>
      <x:c r="G30" s="233" t="str">
        <x:v>A rank-1 probability of 1.000 means that no reversal was observed in 5,000 bootstrap samples; it is not an absolute probability of 100%. Items were jointly resampled within benchmark to preserve model-condition pairing. Point estimates retain the final converged VB results, while uncertainty is propagated from bootstrap deviations of the matched quadrature-MAP refit.</x:v>
      </x:c>
      <x:c r="H30" s="234" t="str">
        <x:v>A rank-1 probability of 1.000 means that no reversal was observed in 5,000 bootstrap samples; it is not an absolute probability of 100%. Items were jointly resampled within benchmark to preserve model-condition pairing. Point estimates retain the final converged VB results, while uncertainty is propagated from bootstrap deviations of the matched quadrature-MAP refit.</x:v>
      </x:c>
    </x:row>
  </x:sheetData>
  <x:mergeCells>
    <x:mergeCell ref="A1:H1"/>
    <x:mergeCell ref="A2:H2"/>
    <x:mergeCell ref="D4:H4"/>
    <x:mergeCell ref="D5:H9"/>
    <x:mergeCell ref="A11:H11"/>
    <x:mergeCell ref="A18:H18"/>
    <x:mergeCell ref="A27:H27"/>
    <x:mergeCell ref="A28:H3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20" hidden="0" customWidth="1"/>
    <x:col min="3" max="3" width="20" hidden="0" customWidth="1"/>
    <x:col min="4" max="4" width="12" hidden="0" customWidth="1"/>
    <x:col min="5" max="5" width="12" hidden="0" customWidth="1"/>
    <x:col min="6" max="6" width="13" hidden="0" customWidth="1"/>
    <x:col min="7" max="7" width="12" hidden="0" customWidth="1"/>
    <x:col min="8" max="8" width="13" hidden="0" customWidth="1"/>
    <x:col min="9" max="9" width="11" hidden="0" customWidth="1"/>
    <x:col min="10" max="10" width="14" hidden="0" customWidth="1"/>
    <x:col min="11" max="11" width="2" hidden="0" customWidth="1"/>
    <x:col min="12" max="12" width="20" hidden="0" customWidth="1"/>
    <x:col min="13" max="13" width="13"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s>
  <x:sheetData>
    <x:row r="1" ht="21.600000381469727" hidden="0" customHeight="1">
      <x:c r="A1" s="192" t="str">
        <x:v>Model-by-condition interaction bootstrap</x:v>
      </x:c>
      <x:c r="B1" s="192" t="str">
        <x:v>Model-by-condition interaction bootstrap</x:v>
      </x:c>
      <x:c r="C1" s="192" t="str">
        <x:v>Model-by-condition interaction bootstrap</x:v>
      </x:c>
      <x:c r="D1" s="192" t="str">
        <x:v>Model-by-condition interaction bootstrap</x:v>
      </x:c>
      <x:c r="E1" s="192" t="str">
        <x:v>Model-by-condition interaction bootstrap</x:v>
      </x:c>
      <x:c r="F1" s="192" t="str">
        <x:v>Model-by-condition interaction bootstrap</x:v>
      </x:c>
      <x:c r="G1" s="192" t="str">
        <x:v>Model-by-condition interaction bootstrap</x:v>
      </x:c>
      <x:c r="H1" s="192" t="str">
        <x:v>Model-by-condition interaction bootstrap</x:v>
      </x:c>
      <x:c r="I1" s="192" t="str">
        <x:v>Model-by-condition interaction bootstrap</x:v>
      </x:c>
      <x:c r="J1" s="192" t="str">
        <x:v>Model-by-condition interaction bootstrap</x:v>
      </x:c>
      <x:c r="K1" s="194"/>
      <x:c r="L1" s="194"/>
      <x:c r="M1" s="194"/>
    </x:row>
    <x:row r="2" ht="15" hidden="0" customHeight="1">
      <x:c r="A2" s="193" t="str">
        <x:v>Effect = Safety - Baseline. Difference-in-differences (DID) = model A effect - model B effect. A CI excluding zero supports a robust directional difference.</x:v>
      </x:c>
      <x:c r="B2" s="193" t="str">
        <x:v>Effect = Safety - Baseline. Difference-in-differences (DID) = model A effect - model B effect. A CI excluding zero supports a robust directional difference.</x:v>
      </x:c>
      <x:c r="C2" s="193" t="str">
        <x:v>Effect = Safety - Baseline. Difference-in-differences (DID) = model A effect - model B effect. A CI excluding zero supports a robust directional difference.</x:v>
      </x:c>
      <x:c r="D2" s="193" t="str">
        <x:v>Effect = Safety - Baseline. Difference-in-differences (DID) = model A effect - model B effect. A CI excluding zero supports a robust directional difference.</x:v>
      </x:c>
      <x:c r="E2" s="193" t="str">
        <x:v>Effect = Safety - Baseline. Difference-in-differences (DID) = model A effect - model B effect. A CI excluding zero supports a robust directional difference.</x:v>
      </x:c>
      <x:c r="F2" s="193" t="str">
        <x:v>Effect = Safety - Baseline. Difference-in-differences (DID) = model A effect - model B effect. A CI excluding zero supports a robust directional difference.</x:v>
      </x:c>
      <x:c r="G2" s="193" t="str">
        <x:v>Effect = Safety - Baseline. Difference-in-differences (DID) = model A effect - model B effect. A CI excluding zero supports a robust directional difference.</x:v>
      </x:c>
      <x:c r="H2" s="193" t="str">
        <x:v>Effect = Safety - Baseline. Difference-in-differences (DID) = model A effect - model B effect. A CI excluding zero supports a robust directional difference.</x:v>
      </x:c>
      <x:c r="I2" s="193" t="str">
        <x:v>Effect = Safety - Baseline. Difference-in-differences (DID) = model A effect - model B effect. A CI excluding zero supports a robust directional difference.</x:v>
      </x:c>
      <x:c r="J2" s="193" t="str">
        <x:v>Effect = Safety - Baseline. Difference-in-differences (DID) = model A effect - model B effect. A CI excluding zero supports a robust directional difference.</x:v>
      </x:c>
      <x:c r="K2" s="194"/>
      <x:c r="L2" s="194"/>
      <x:c r="M2" s="194"/>
    </x:row>
    <x:row r="3" ht="15" hidden="0" customHeight="1">
      <x:c r="A3" s="194"/>
      <x:c r="B3" s="194"/>
      <x:c r="C3" s="194"/>
      <x:c r="D3" s="194"/>
      <x:c r="E3" s="194"/>
      <x:c r="F3" s="194"/>
      <x:c r="G3" s="194"/>
      <x:c r="H3" s="194"/>
      <x:c r="I3" s="194"/>
      <x:c r="J3" s="194"/>
      <x:c r="K3" s="194"/>
      <x:c r="L3" s="194"/>
      <x:c r="M3" s="194"/>
    </x:row>
    <x:row r="4" ht="15" hidden="0" customHeight="1">
      <x:c r="A4" s="195" t="str">
        <x:v>Comparison</x:v>
      </x:c>
      <x:c r="B4" s="213" t="str">
        <x:v>Model A</x:v>
      </x:c>
      <x:c r="C4" s="213" t="str">
        <x:v>Model B</x:v>
      </x:c>
      <x:c r="D4" s="213" t="str">
        <x:v>Estimate</x:v>
      </x:c>
      <x:c r="E4" s="213" t="str">
        <x:v>Boot mean</x:v>
      </x:c>
      <x:c r="F4" s="213" t="str">
        <x:v>95% CI low</x:v>
      </x:c>
      <x:c r="G4" s="213" t="str">
        <x:v>Median</x:v>
      </x:c>
      <x:c r="H4" s="213" t="str">
        <x:v>95% CI high</x:v>
      </x:c>
      <x:c r="I4" s="213" t="str">
        <x:v>P(&gt;0)</x:v>
      </x:c>
      <x:c r="J4" s="196" t="str">
        <x:v>Decision</x:v>
      </x:c>
      <x:c r="K4" s="194"/>
      <x:c r="L4" s="195" t="str">
        <x:v>Model</x:v>
      </x:c>
      <x:c r="M4" s="196" t="str">
        <x:v>Condition effect</x:v>
      </x:c>
    </x:row>
    <x:row r="5" ht="15" hidden="0" customHeight="1">
      <x:c r="A5" s="198" t="str">
        <x:v>Model effect</x:v>
      </x:c>
      <x:c r="B5" s="218" t="str">
        <x:v>GPT-4.1-mini</x:v>
      </x:c>
      <x:c r="C5" s="218" t="str">
        <x:v>—</x:v>
      </x:c>
      <x:c r="D5" s="214" t="n">
        <x:v>0.01169184653084221</x:v>
      </x:c>
      <x:c r="E5" s="214" t="n">
        <x:v>0.011676924413149476</x:v>
      </x:c>
      <x:c r="F5" s="214" t="n">
        <x:v>0.0051264890976029905</x:v>
      </x:c>
      <x:c r="G5" s="214" t="n">
        <x:v>0.011637231756442046</x:v>
      </x:c>
      <x:c r="H5" s="214" t="n">
        <x:v>0.018359056724592072</x:v>
      </x:c>
      <x:c r="I5" s="214" t="n">
        <x:v>1</x:v>
      </x:c>
      <x:c r="J5" s="219" t="str">
        <x:v>Positive</x:v>
      </x:c>
      <x:c r="K5" s="194"/>
      <x:c r="L5" s="198" t="str">
        <x:v>GPT-4.1-mini</x:v>
      </x:c>
      <x:c r="M5" s="235" t="n">
        <x:v>0.01169184653084221</x:v>
      </x:c>
    </x:row>
    <x:row r="6" ht="15" hidden="0" customHeight="1">
      <x:c r="A6" s="203" t="str">
        <x:v>Model effect</x:v>
      </x:c>
      <x:c r="B6" s="221" t="str">
        <x:v>Qwen2.5-7B</x:v>
      </x:c>
      <x:c r="C6" s="221" t="str">
        <x:v>—</x:v>
      </x:c>
      <x:c r="D6" s="215" t="n">
        <x:v>0.01910659370134915</x:v>
      </x:c>
      <x:c r="E6" s="215" t="n">
        <x:v>0.019082524089332194</x:v>
      </x:c>
      <x:c r="F6" s="215" t="n">
        <x:v>0.007792754741722791</x:v>
      </x:c>
      <x:c r="G6" s="215" t="n">
        <x:v>0.018962742065215032</x:v>
      </x:c>
      <x:c r="H6" s="215" t="n">
        <x:v>0.030390063748882774</x:v>
      </x:c>
      <x:c r="I6" s="215" t="n">
        <x:v>0.9994</x:v>
      </x:c>
      <x:c r="J6" s="222" t="str">
        <x:v>Positive</x:v>
      </x:c>
      <x:c r="K6" s="194"/>
      <x:c r="L6" s="203" t="str">
        <x:v>Qwen2.5-7B</x:v>
      </x:c>
      <x:c r="M6" s="236" t="n">
        <x:v>0.01910659370134915</x:v>
      </x:c>
    </x:row>
    <x:row r="7" ht="15" hidden="0" customHeight="1">
      <x:c r="A7" s="203" t="str">
        <x:v>Model effect</x:v>
      </x:c>
      <x:c r="B7" s="221" t="str">
        <x:v>Claude Haiku 4.5</x:v>
      </x:c>
      <x:c r="C7" s="221" t="str">
        <x:v>—</x:v>
      </x:c>
      <x:c r="D7" s="215" t="n">
        <x:v>0.04084806164418153</x:v>
      </x:c>
      <x:c r="E7" s="215" t="n">
        <x:v>0.04085152131613455</x:v>
      </x:c>
      <x:c r="F7" s="215" t="n">
        <x:v>0.02859673562367438</x:v>
      </x:c>
      <x:c r="G7" s="215" t="n">
        <x:v>0.04083575033284054</x:v>
      </x:c>
      <x:c r="H7" s="215" t="n">
        <x:v>0.05323907505395564</x:v>
      </x:c>
      <x:c r="I7" s="215" t="n">
        <x:v>1</x:v>
      </x:c>
      <x:c r="J7" s="222" t="str">
        <x:v>Positive</x:v>
      </x:c>
      <x:c r="K7" s="194"/>
      <x:c r="L7" s="203" t="str">
        <x:v>Claude Haiku 4.5</x:v>
      </x:c>
      <x:c r="M7" s="236" t="n">
        <x:v>0.04084806164418153</x:v>
      </x:c>
    </x:row>
    <x:row r="8" ht="15" hidden="0" customHeight="1">
      <x:c r="A8" s="203" t="str">
        <x:v>Model effect</x:v>
      </x:c>
      <x:c r="B8" s="221" t="str">
        <x:v>Llama 3.1-8B</x:v>
      </x:c>
      <x:c r="C8" s="221" t="str">
        <x:v>—</x:v>
      </x:c>
      <x:c r="D8" s="215" t="n">
        <x:v>0.04144258880406926</x:v>
      </x:c>
      <x:c r="E8" s="215" t="n">
        <x:v>0.04147122557637388</x:v>
      </x:c>
      <x:c r="F8" s="215" t="n">
        <x:v>0.023129330654383395</x:v>
      </x:c>
      <x:c r="G8" s="215" t="n">
        <x:v>0.041475395261669545</x:v>
      </x:c>
      <x:c r="H8" s="215" t="n">
        <x:v>0.06006459602598953</x:v>
      </x:c>
      <x:c r="I8" s="215" t="n">
        <x:v>1</x:v>
      </x:c>
      <x:c r="J8" s="222" t="str">
        <x:v>Positive</x:v>
      </x:c>
      <x:c r="K8" s="194"/>
      <x:c r="L8" s="208" t="str">
        <x:v>Llama 3.1-8B</x:v>
      </x:c>
      <x:c r="M8" s="237" t="n">
        <x:v>0.04144258880406926</x:v>
      </x:c>
    </x:row>
    <x:row r="9" ht="15" hidden="0" customHeight="1">
      <x:c r="A9" s="203" t="str">
        <x:v>Difference-in-differences</x:v>
      </x:c>
      <x:c r="B9" s="221" t="str">
        <x:v>GPT-4.1-mini</x:v>
      </x:c>
      <x:c r="C9" s="221" t="str">
        <x:v>Qwen2.5-7B</x:v>
      </x:c>
      <x:c r="D9" s="215" t="n">
        <x:v>-0.007414747170506941</x:v>
      </x:c>
      <x:c r="E9" s="215" t="n">
        <x:v>-0.007405599676182721</x:v>
      </x:c>
      <x:c r="F9" s="215" t="n">
        <x:v>-0.019957050664810586</x:v>
      </x:c>
      <x:c r="G9" s="215" t="n">
        <x:v>-0.007382791066255556</x:v>
      </x:c>
      <x:c r="H9" s="215" t="n">
        <x:v>0.0051379186039194995</x:v>
      </x:c>
      <x:c r="I9" s="215" t="n">
        <x:v>0.1234</x:v>
      </x:c>
      <x:c r="J9" s="222" t="str">
        <x:v>Uncertain</x:v>
      </x:c>
      <x:c r="K9" s="194"/>
      <x:c r="L9" s="194"/>
      <x:c r="M9" s="194"/>
    </x:row>
    <x:row r="10" ht="15" hidden="0" customHeight="1">
      <x:c r="A10" s="203" t="str">
        <x:v>Difference-in-differences</x:v>
      </x:c>
      <x:c r="B10" s="221" t="str">
        <x:v>GPT-4.1-mini</x:v>
      </x:c>
      <x:c r="C10" s="221" t="str">
        <x:v>Claude Haiku 4.5</x:v>
      </x:c>
      <x:c r="D10" s="215" t="n">
        <x:v>-0.029156215113339323</x:v>
      </x:c>
      <x:c r="E10" s="215" t="n">
        <x:v>-0.02917459690298507</x:v>
      </x:c>
      <x:c r="F10" s="215" t="n">
        <x:v>-0.042344267690331616</x:v>
      </x:c>
      <x:c r="G10" s="215" t="n">
        <x:v>-0.029149845182541212</x:v>
      </x:c>
      <x:c r="H10" s="215" t="n">
        <x:v>-0.015684028775728547</x:v>
      </x:c>
      <x:c r="I10" s="215" t="n">
        <x:v>0</x:v>
      </x:c>
      <x:c r="J10" s="222" t="str">
        <x:v>A &lt; B</x:v>
      </x:c>
      <x:c r="K10" s="194"/>
      <x:c r="L10" s="194"/>
      <x:c r="M10" s="194"/>
    </x:row>
    <x:row r="11" ht="15" hidden="0" customHeight="1">
      <x:c r="A11" s="203" t="str">
        <x:v>Difference-in-differences</x:v>
      </x:c>
      <x:c r="B11" s="221" t="str">
        <x:v>GPT-4.1-mini</x:v>
      </x:c>
      <x:c r="C11" s="221" t="str">
        <x:v>Llama 3.1-8B</x:v>
      </x:c>
      <x:c r="D11" s="215" t="n">
        <x:v>-0.02975074227322705</x:v>
      </x:c>
      <x:c r="E11" s="215" t="n">
        <x:v>-0.0297943011632244</x:v>
      </x:c>
      <x:c r="F11" s="215" t="n">
        <x:v>-0.04970696617729593</x:v>
      </x:c>
      <x:c r="G11" s="215" t="n">
        <x:v>-0.029695169973329938</x:v>
      </x:c>
      <x:c r="H11" s="215" t="n">
        <x:v>-0.010652963147526288</x:v>
      </x:c>
      <x:c r="I11" s="215" t="n">
        <x:v>0.0008</x:v>
      </x:c>
      <x:c r="J11" s="222" t="str">
        <x:v>A &lt; B</x:v>
      </x:c>
      <x:c r="K11" s="194"/>
      <x:c r="L11" s="194"/>
      <x:c r="M11" s="194"/>
    </x:row>
    <x:row r="12" ht="15" hidden="0" customHeight="1">
      <x:c r="A12" s="203" t="str">
        <x:v>Difference-in-differences</x:v>
      </x:c>
      <x:c r="B12" s="221" t="str">
        <x:v>Qwen2.5-7B</x:v>
      </x:c>
      <x:c r="C12" s="221" t="str">
        <x:v>Claude Haiku 4.5</x:v>
      </x:c>
      <x:c r="D12" s="215" t="n">
        <x:v>-0.021741467942832382</x:v>
      </x:c>
      <x:c r="E12" s="215" t="n">
        <x:v>-0.02176899722680235</x:v>
      </x:c>
      <x:c r="F12" s="215" t="n">
        <x:v>-0.03820657234261119</x:v>
      </x:c>
      <x:c r="G12" s="215" t="n">
        <x:v>-0.021684407124325455</x:v>
      </x:c>
      <x:c r="H12" s="215" t="n">
        <x:v>-0.005555633974234059</x:v>
      </x:c>
      <x:c r="I12" s="215" t="n">
        <x:v>0.0036</x:v>
      </x:c>
      <x:c r="J12" s="222" t="str">
        <x:v>A &lt; B</x:v>
      </x:c>
      <x:c r="K12" s="194"/>
      <x:c r="L12" s="194"/>
      <x:c r="M12" s="194"/>
    </x:row>
    <x:row r="13" ht="15" hidden="0" customHeight="1">
      <x:c r="A13" s="203" t="str">
        <x:v>Difference-in-differences</x:v>
      </x:c>
      <x:c r="B13" s="221" t="str">
        <x:v>Qwen2.5-7B</x:v>
      </x:c>
      <x:c r="C13" s="221" t="str">
        <x:v>Llama 3.1-8B</x:v>
      </x:c>
      <x:c r="D13" s="215" t="n">
        <x:v>-0.022335995102720108</x:v>
      </x:c>
      <x:c r="E13" s="215" t="n">
        <x:v>-0.02238870148704168</x:v>
      </x:c>
      <x:c r="F13" s="215" t="n">
        <x:v>-0.043134903378873074</x:v>
      </x:c>
      <x:c r="G13" s="215" t="n">
        <x:v>-0.022390224207830156</x:v>
      </x:c>
      <x:c r="H13" s="215" t="n">
        <x:v>-0.0019008666323442117</x:v>
      </x:c>
      <x:c r="I13" s="215" t="n">
        <x:v>0.0152</x:v>
      </x:c>
      <x:c r="J13" s="222" t="str">
        <x:v>A &lt; B</x:v>
      </x:c>
      <x:c r="K13" s="194"/>
      <x:c r="L13" s="194"/>
      <x:c r="M13" s="194"/>
    </x:row>
    <x:row r="14" ht="15" hidden="0" customHeight="1">
      <x:c r="A14" s="208" t="str">
        <x:v>Difference-in-differences</x:v>
      </x:c>
      <x:c r="B14" s="224" t="str">
        <x:v>Claude Haiku 4.5</x:v>
      </x:c>
      <x:c r="C14" s="224" t="str">
        <x:v>Llama 3.1-8B</x:v>
      </x:c>
      <x:c r="D14" s="216" t="n">
        <x:v>-0.0005945271598877255</x:v>
      </x:c>
      <x:c r="E14" s="216" t="n">
        <x:v>-0.0006197042602393354</x:v>
      </x:c>
      <x:c r="F14" s="216" t="n">
        <x:v>-0.0224494896644264</x:v>
      </x:c>
      <x:c r="G14" s="216" t="n">
        <x:v>-0.0005986215625671254</x:v>
      </x:c>
      <x:c r="H14" s="216" t="n">
        <x:v>0.021039384853855824</x:v>
      </x:c>
      <x:c r="I14" s="216" t="n">
        <x:v>0.4756</x:v>
      </x:c>
      <x:c r="J14" s="225" t="str">
        <x:v>Uncertain</x:v>
      </x:c>
      <x:c r="K14" s="194"/>
      <x:c r="L14" s="194"/>
      <x:c r="M14" s="194"/>
    </x:row>
    <x:row r="15" ht="15" hidden="0" customHeight="1">
      <x:c r="A15" s="194"/>
      <x:c r="B15" s="194"/>
      <x:c r="C15" s="194"/>
      <x:c r="D15" s="194"/>
      <x:c r="E15" s="194"/>
      <x:c r="F15" s="194"/>
      <x:c r="G15" s="194"/>
      <x:c r="H15" s="194"/>
      <x:c r="I15" s="194"/>
      <x:c r="J15" s="194"/>
      <x:c r="K15" s="194"/>
      <x:c r="L15" s="194"/>
      <x:c r="M15" s="194"/>
    </x:row>
    <x:row r="16" ht="15" hidden="0" customHeight="1">
      <x:c r="A16" s="197" t="str">
        <x:v>Omnibus interaction test</x:v>
      </x:c>
      <x:c r="B16" s="197" t="str">
        <x:v>Omnibus interaction test</x:v>
      </x:c>
      <x:c r="C16" s="197" t="str">
        <x:v>Omnibus interaction test</x:v>
      </x:c>
      <x:c r="D16" s="197" t="str">
        <x:v>Omnibus interaction test</x:v>
      </x:c>
      <x:c r="E16" s="197" t="str">
        <x:v>Omnibus interaction test</x:v>
      </x:c>
      <x:c r="F16" s="197" t="str">
        <x:v>Omnibus interaction test</x:v>
      </x:c>
      <x:c r="G16" s="197" t="str">
        <x:v>Omnibus interaction test</x:v>
      </x:c>
      <x:c r="H16" s="197" t="str">
        <x:v>Omnibus interaction test</x:v>
      </x:c>
      <x:c r="I16" s="197" t="str">
        <x:v>Omnibus interaction test</x:v>
      </x:c>
      <x:c r="J16" s="197" t="str">
        <x:v>Omnibus interaction test</x:v>
      </x:c>
      <x:c r="K16" s="194"/>
      <x:c r="L16" s="194"/>
      <x:c r="M16" s="194"/>
    </x:row>
    <x:row r="17" ht="15" hidden="0" customHeight="1">
      <x:c r="A17" s="195" t="str">
        <x:v>Test</x:v>
      </x:c>
      <x:c r="B17" s="213" t="str">
        <x:v>Chi-square</x:v>
      </x:c>
      <x:c r="C17" s="213" t="str">
        <x:v>df</x:v>
      </x:c>
      <x:c r="D17" s="196" t="str">
        <x:v>p-value</x:v>
      </x:c>
      <x:c r="E17" s="194"/>
      <x:c r="F17" s="194"/>
      <x:c r="G17" s="194"/>
      <x:c r="H17" s="194"/>
      <x:c r="I17" s="194"/>
      <x:c r="J17" s="194"/>
      <x:c r="K17" s="194"/>
      <x:c r="L17" s="194"/>
      <x:c r="M17" s="194"/>
    </x:row>
    <x:row r="18" ht="15" hidden="0" customHeight="1">
      <x:c r="A18" s="238" t="str">
        <x:v>Model-by-condition interaction</x:v>
      </x:c>
      <x:c r="B18" s="239" t="n">
        <x:v>24.452922571532447</x:v>
      </x:c>
      <x:c r="C18" s="240" t="n">
        <x:v>3</x:v>
      </x:c>
      <x:c r="D18" s="241" t="n">
        <x:v>0.000020090986160684582</x:v>
      </x:c>
      <x:c r="E18" s="194"/>
      <x:c r="F18" s="194"/>
      <x:c r="G18" s="194"/>
      <x:c r="H18" s="194"/>
      <x:c r="I18" s="194"/>
      <x:c r="J18" s="194"/>
      <x:c r="K18" s="194"/>
      <x:c r="L18" s="194"/>
      <x:c r="M18" s="194"/>
    </x:row>
    <x:row r="19"/>
    <x:row r="20"/>
    <x:row r="21"/>
    <x:row r="22"/>
    <x:row r="23"/>
    <x:row r="24"/>
    <x:row r="25"/>
    <x:row r="26"/>
  </x:sheetData>
  <x:mergeCells>
    <x:mergeCell ref="A1:J1"/>
    <x:mergeCell ref="A2:J2"/>
    <x:mergeCell ref="A16:J16"/>
  </x:mergeCells>
  <x:conditionalFormatting sqref="J5:J14">
    <x:cfRule type="containsText" dxfId="0" priority="1" operator="containsText" text="Uncertain"/>
    <x:cfRule type="notContainsText" dxfId="1" priority="2" text="Uncertain"/>
  </x:conditionalFormatting>
  <x:pageMargins left="0.7" right="0.7" top="0.75" bottom="0.75" header="0.3" footer="0.3"/>
  <x:drawing xmlns:r="http://schemas.openxmlformats.org/officeDocument/2006/relationships" r:id="R4dff96332a4e4b18"/>
</x:worksheet>
</file>

<file path=xl/worksheets/sheet3.xml><?xml version="1.0" encoding="utf-8"?>
<x:worksheet xmlns:x="http://schemas.openxmlformats.org/spreadsheetml/2006/main">
  <x:sheetViews>
    <x:sheetView showGridLines="0" workbookViewId="0"/>
  </x:sheetViews>
  <x:sheetFormatPr defaultRowHeight="15"/>
  <x:cols>
    <x:col min="1" max="1" width="23" hidden="0" customWidth="1"/>
    <x:col min="2" max="2" width="12" hidden="0" customWidth="1"/>
    <x:col min="3" max="3" width="12" hidden="0" customWidth="1"/>
    <x:col min="4" max="4" width="14" hidden="0" customWidth="1"/>
    <x:col min="5" max="5" width="10" hidden="0" customWidth="1"/>
    <x:col min="6" max="6" width="20" hidden="0" customWidth="1"/>
    <x:col min="7" max="7" width="13" hidden="0" customWidth="1"/>
    <x:col min="8" max="8" width="12" hidden="0" customWidth="1"/>
    <x:col min="9" max="9" width="13" hidden="0" customWidth="1"/>
    <x:col min="10" max="10" width="11" hidden="0" customWidth="1"/>
    <x:col min="11" max="11" width="11" hidden="0" customWidth="1"/>
    <x:col min="12" max="12" width="11" hidden="0" customWidth="1"/>
    <x:col min="13" max="13" width="11" hidden="0" customWidth="1"/>
    <x:col min="14" max="14" width="2" hidden="0" customWidth="1"/>
    <x:col min="15" max="15" width="24" hidden="0" customWidth="1"/>
    <x:col min="16" max="16" width="15" hidden="0" customWidth="1"/>
    <x:col min="17" max="17" width="15" hidden="0" customWidth="1"/>
    <x:col min="18" max="18" width="18" hidden="0" customWidth="1"/>
    <x:col min="19" max="19" width="16" hidden="0" customWidth="1"/>
  </x:cols>
  <x:sheetData>
    <x:row r="1" ht="21.600000381469727" hidden="0" customHeight="1">
      <x:c r="A1" s="192" t="str">
        <x:v>Ranking under alternative composite-score definitions</x:v>
      </x:c>
      <x:c r="B1" s="192" t="str">
        <x:v>Ranking under alternative composite-score definitions</x:v>
      </x:c>
      <x:c r="C1" s="192" t="str">
        <x:v>Ranking under alternative composite-score definitions</x:v>
      </x:c>
      <x:c r="D1" s="192" t="str">
        <x:v>Ranking under alternative composite-score definitions</x:v>
      </x:c>
      <x:c r="E1" s="192" t="str">
        <x:v>Ranking under alternative composite-score definitions</x:v>
      </x:c>
      <x:c r="F1" s="192" t="str">
        <x:v>Ranking under alternative composite-score definitions</x:v>
      </x:c>
      <x:c r="G1" s="192" t="str">
        <x:v>Ranking under alternative composite-score definitions</x:v>
      </x:c>
      <x:c r="H1" s="192" t="str">
        <x:v>Ranking under alternative composite-score definitions</x:v>
      </x:c>
      <x:c r="I1" s="192" t="str">
        <x:v>Ranking under alternative composite-score definitions</x:v>
      </x:c>
      <x:c r="J1" s="192" t="str">
        <x:v>Ranking under alternative composite-score definitions</x:v>
      </x:c>
      <x:c r="K1" s="192" t="str">
        <x:v>Ranking under alternative composite-score definitions</x:v>
      </x:c>
      <x:c r="L1" s="192" t="str">
        <x:v>Ranking under alternative composite-score definitions</x:v>
      </x:c>
      <x:c r="M1" s="192" t="str">
        <x:v>Ranking under alternative composite-score definitions</x:v>
      </x:c>
      <x:c r="N1" s="194"/>
      <x:c r="O1" s="194"/>
      <x:c r="P1" s="194"/>
      <x:c r="Q1" s="194"/>
      <x:c r="R1" s="194"/>
      <x:c r="S1" s="194"/>
    </x:row>
    <x:row r="2" ht="15" hidden="0" customHeight="1">
      <x:c r="A2" s="193" t="str">
        <x:v>Point estimates use final VB reliability. Column D scores and column E ranks are calculated from the baseline and Safety inputs with auditable Excel formulas.</x:v>
      </x:c>
      <x:c r="B2" s="193" t="str">
        <x:v>Point estimates use final VB reliability. Column D scores and column E ranks are calculated from the baseline and Safety inputs with auditable Excel formulas.</x:v>
      </x:c>
      <x:c r="C2" s="193" t="str">
        <x:v>Point estimates use final VB reliability. Column D scores and column E ranks are calculated from the baseline and Safety inputs with auditable Excel formulas.</x:v>
      </x:c>
      <x:c r="D2" s="193" t="str">
        <x:v>Point estimates use final VB reliability. Column D scores and column E ranks are calculated from the baseline and Safety inputs with auditable Excel formulas.</x:v>
      </x:c>
      <x:c r="E2" s="193" t="str">
        <x:v>Point estimates use final VB reliability. Column D scores and column E ranks are calculated from the baseline and Safety inputs with auditable Excel formulas.</x:v>
      </x:c>
      <x:c r="F2" s="193" t="str">
        <x:v>Point estimates use final VB reliability. Column D scores and column E ranks are calculated from the baseline and Safety inputs with auditable Excel formulas.</x:v>
      </x:c>
      <x:c r="G2" s="193" t="str">
        <x:v>Point estimates use final VB reliability. Column D scores and column E ranks are calculated from the baseline and Safety inputs with auditable Excel formulas.</x:v>
      </x:c>
      <x:c r="H2" s="193" t="str">
        <x:v>Point estimates use final VB reliability. Column D scores and column E ranks are calculated from the baseline and Safety inputs with auditable Excel formulas.</x:v>
      </x:c>
      <x:c r="I2" s="193" t="str">
        <x:v>Point estimates use final VB reliability. Column D scores and column E ranks are calculated from the baseline and Safety inputs with auditable Excel formulas.</x:v>
      </x:c>
      <x:c r="J2" s="193" t="str">
        <x:v>Point estimates use final VB reliability. Column D scores and column E ranks are calculated from the baseline and Safety inputs with auditable Excel formulas.</x:v>
      </x:c>
      <x:c r="K2" s="193" t="str">
        <x:v>Point estimates use final VB reliability. Column D scores and column E ranks are calculated from the baseline and Safety inputs with auditable Excel formulas.</x:v>
      </x:c>
      <x:c r="L2" s="193" t="str">
        <x:v>Point estimates use final VB reliability. Column D scores and column E ranks are calculated from the baseline and Safety inputs with auditable Excel formulas.</x:v>
      </x:c>
      <x:c r="M2" s="193" t="str">
        <x:v>Point estimates use final VB reliability. Column D scores and column E ranks are calculated from the baseline and Safety inputs with auditable Excel formulas.</x:v>
      </x:c>
      <x:c r="N2" s="194"/>
      <x:c r="O2" s="194"/>
      <x:c r="P2" s="194"/>
      <x:c r="Q2" s="194"/>
      <x:c r="R2" s="194"/>
      <x:c r="S2" s="194"/>
    </x:row>
    <x:row r="3" ht="15" hidden="0" customHeight="1">
      <x:c r="A3" s="194"/>
      <x:c r="B3" s="194"/>
      <x:c r="C3" s="194"/>
      <x:c r="D3" s="194"/>
      <x:c r="E3" s="194"/>
      <x:c r="F3" s="194"/>
      <x:c r="G3" s="194"/>
      <x:c r="H3" s="194"/>
      <x:c r="I3" s="194"/>
      <x:c r="J3" s="194"/>
      <x:c r="K3" s="194"/>
      <x:c r="L3" s="194"/>
      <x:c r="M3" s="194"/>
      <x:c r="N3" s="194"/>
      <x:c r="O3" s="194"/>
      <x:c r="P3" s="194"/>
      <x:c r="Q3" s="194"/>
      <x:c r="R3" s="194"/>
      <x:c r="S3" s="194"/>
    </x:row>
    <x:row r="4" ht="26.399999618530273" hidden="0" customHeight="1">
      <x:c r="A4" s="195" t="str">
        <x:v>Score definition</x:v>
      </x:c>
      <x:c r="B4" s="213" t="str">
        <x:v>Baseline</x:v>
      </x:c>
      <x:c r="C4" s="213" t="str">
        <x:v>Safety</x:v>
      </x:c>
      <x:c r="D4" s="213" t="str">
        <x:v>Score (formula)</x:v>
      </x:c>
      <x:c r="E4" s="213" t="str">
        <x:v>Rank (formula)</x:v>
      </x:c>
      <x:c r="F4" s="213" t="str">
        <x:v>Model</x:v>
      </x:c>
      <x:c r="G4" s="213" t="str">
        <x:v>95% CI low</x:v>
      </x:c>
      <x:c r="H4" s="213" t="str">
        <x:v>Median</x:v>
      </x:c>
      <x:c r="I4" s="213" t="str">
        <x:v>95% CI high</x:v>
      </x:c>
      <x:c r="J4" s="213" t="str">
        <x:v>Mean rank</x:v>
      </x:c>
      <x:c r="K4" s="213" t="str">
        <x:v>P(rank 1)</x:v>
      </x:c>
      <x:c r="L4" s="213" t="str">
        <x:v>P(rank 2)</x:v>
      </x:c>
      <x:c r="M4" s="196" t="str">
        <x:v>P(rank 3)</x:v>
      </x:c>
      <x:c r="N4" s="194"/>
      <x:c r="O4" s="195" t="str">
        <x:v>Score definition</x:v>
      </x:c>
      <x:c r="P4" s="213" t="str">
        <x:v>GPT-4.1-mini</x:v>
      </x:c>
      <x:c r="Q4" s="213" t="str">
        <x:v>Qwen2.5-7B</x:v>
      </x:c>
      <x:c r="R4" s="213" t="str">
        <x:v>Claude Haiku 4.5</x:v>
      </x:c>
      <x:c r="S4" s="196" t="str">
        <x:v>Llama 3.1-8B</x:v>
      </x:c>
    </x:row>
    <x:row r="5" ht="15" hidden="0" customHeight="1">
      <x:c r="A5" s="242" t="str">
        <x:v>Baseline only</x:v>
      </x:c>
      <x:c r="B5" s="243" t="n">
        <x:v>0.9045681175206122</x:v>
      </x:c>
      <x:c r="C5" s="243" t="n">
        <x:v>0.9162599640514544</x:v>
      </x:c>
      <x:c r="D5" s="243" t="n">
        <x:f>B5</x:f>
        <x:v>0.9045681175206122</x:v>
      </x:c>
      <x:c r="E5" s="244" t="n">
        <x:f>RANK(D5,$D$5:$D$8,0)</x:f>
        <x:v>1</x:v>
      </x:c>
      <x:c r="F5" s="244" t="str">
        <x:v>GPT-4.1-mini</x:v>
      </x:c>
      <x:c r="G5" s="243" t="n">
        <x:v>0.8956641903897474</x:v>
      </x:c>
      <x:c r="H5" s="243" t="n">
        <x:v>0.9045456538000892</x:v>
      </x:c>
      <x:c r="I5" s="243" t="n">
        <x:v>0.913109651781189</x:v>
      </x:c>
      <x:c r="J5" s="245" t="n">
        <x:v>1</x:v>
      </x:c>
      <x:c r="K5" s="246" t="n">
        <x:v>1</x:v>
      </x:c>
      <x:c r="L5" s="246" t="n">
        <x:v>0</x:v>
      </x:c>
      <x:c r="M5" s="247" t="n">
        <x:v>0</x:v>
      </x:c>
      <x:c r="N5" s="194"/>
      <x:c r="O5" s="198" t="str">
        <x:v>Baseline only</x:v>
      </x:c>
      <x:c r="P5" s="248" t="n">
        <x:f>D5</x:f>
        <x:v>0.9045681175206122</x:v>
      </x:c>
      <x:c r="Q5" s="248" t="n">
        <x:f>D6</x:f>
        <x:v>0.819355906476112</x:v>
      </x:c>
      <x:c r="R5" s="248" t="n">
        <x:f>D7</x:f>
        <x:v>0.7729358469773219</x:v>
      </x:c>
      <x:c r="S5" s="249" t="n">
        <x:f>D8</x:f>
        <x:v>0.6470048226615187</x:v>
      </x:c>
    </x:row>
    <x:row r="6" ht="15" hidden="0" customHeight="1">
      <x:c r="A6" s="250" t="str">
        <x:v>Baseline only</x:v>
      </x:c>
      <x:c r="B6" s="251" t="n">
        <x:v>0.819355906476112</x:v>
      </x:c>
      <x:c r="C6" s="251" t="n">
        <x:v>0.8384625001774612</x:v>
      </x:c>
      <x:c r="D6" s="251" t="n">
        <x:f>B6</x:f>
        <x:v>0.819355906476112</x:v>
      </x:c>
      <x:c r="E6" s="252" t="n">
        <x:f>RANK(D6,$D$5:$D$8,0)</x:f>
        <x:v>2</x:v>
      </x:c>
      <x:c r="F6" s="252" t="str">
        <x:v>Qwen2.5-7B</x:v>
      </x:c>
      <x:c r="G6" s="251" t="n">
        <x:v>0.804647364687321</x:v>
      </x:c>
      <x:c r="H6" s="251" t="n">
        <x:v>0.819304871460582</x:v>
      </x:c>
      <x:c r="I6" s="251" t="n">
        <x:v>0.8328616944293246</x:v>
      </x:c>
      <x:c r="J6" s="253" t="n">
        <x:v>2</x:v>
      </x:c>
      <x:c r="K6" s="254" t="n">
        <x:v>0</x:v>
      </x:c>
      <x:c r="L6" s="254" t="n">
        <x:v>1</x:v>
      </x:c>
      <x:c r="M6" s="255" t="n">
        <x:v>0</x:v>
      </x:c>
      <x:c r="N6" s="194"/>
      <x:c r="O6" s="203" t="str">
        <x:v>Arithmetic mean</x:v>
      </x:c>
      <x:c r="P6" s="256" t="n">
        <x:f>D9</x:f>
        <x:v>0.9104140407860333</x:v>
      </x:c>
      <x:c r="Q6" s="256" t="n">
        <x:f>D10</x:f>
        <x:v>0.8289092033267866</x:v>
      </x:c>
      <x:c r="R6" s="256" t="n">
        <x:f>D11</x:f>
        <x:v>0.7933598777994126</x:v>
      </x:c>
      <x:c r="S6" s="257" t="n">
        <x:f>D12</x:f>
        <x:v>0.6677261170635533</x:v>
      </x:c>
    </x:row>
    <x:row r="7" ht="15" hidden="0" customHeight="1">
      <x:c r="A7" s="250" t="str">
        <x:v>Baseline only</x:v>
      </x:c>
      <x:c r="B7" s="251" t="n">
        <x:v>0.7729358469773219</x:v>
      </x:c>
      <x:c r="C7" s="251" t="n">
        <x:v>0.8137839086215034</x:v>
      </x:c>
      <x:c r="D7" s="251" t="n">
        <x:f>B7</x:f>
        <x:v>0.7729358469773219</x:v>
      </x:c>
      <x:c r="E7" s="252" t="n">
        <x:f>RANK(D7,$D$5:$D$8,0)</x:f>
        <x:v>3</x:v>
      </x:c>
      <x:c r="F7" s="252" t="str">
        <x:v>Claude Haiku 4.5</x:v>
      </x:c>
      <x:c r="G7" s="251" t="n">
        <x:v>0.7553995674367361</x:v>
      </x:c>
      <x:c r="H7" s="251" t="n">
        <x:v>0.7729006730772952</x:v>
      </x:c>
      <x:c r="I7" s="251" t="n">
        <x:v>0.7891384311898947</x:v>
      </x:c>
      <x:c r="J7" s="253" t="n">
        <x:v>3</x:v>
      </x:c>
      <x:c r="K7" s="254" t="n">
        <x:v>0</x:v>
      </x:c>
      <x:c r="L7" s="254" t="n">
        <x:v>0</x:v>
      </x:c>
      <x:c r="M7" s="255" t="n">
        <x:v>1</x:v>
      </x:c>
      <x:c r="N7" s="194"/>
      <x:c r="O7" s="203" t="str">
        <x:v>Geometric mean</x:v>
      </x:c>
      <x:c r="P7" s="256" t="n">
        <x:f>D13</x:f>
        <x:v>0.9103952717592112</x:v>
      </x:c>
      <x:c r="Q7" s="256" t="n">
        <x:f>D14</x:f>
        <x:v>0.8288541499438432</x:v>
      </x:c>
      <x:c r="R7" s="256" t="n">
        <x:f>D15</x:f>
        <x:v>0.7930969390099026</x:v>
      </x:c>
      <x:c r="S7" s="257" t="n">
        <x:f>D16</x:f>
        <x:v>0.6674045215362826</x:v>
      </x:c>
    </x:row>
    <x:row r="8" ht="15" hidden="0" customHeight="1">
      <x:c r="A8" s="250" t="str">
        <x:v>Baseline only</x:v>
      </x:c>
      <x:c r="B8" s="251" t="n">
        <x:v>0.6470048226615187</x:v>
      </x:c>
      <x:c r="C8" s="251" t="n">
        <x:v>0.688447411465588</x:v>
      </x:c>
      <x:c r="D8" s="251" t="n">
        <x:f>B8</x:f>
        <x:v>0.6470048226615187</x:v>
      </x:c>
      <x:c r="E8" s="252" t="n">
        <x:f>RANK(D8,$D$5:$D$8,0)</x:f>
        <x:v>4</x:v>
      </x:c>
      <x:c r="F8" s="252" t="str">
        <x:v>Llama 3.1-8B</x:v>
      </x:c>
      <x:c r="G8" s="251" t="n">
        <x:v>0.6254658365405377</x:v>
      </x:c>
      <x:c r="H8" s="251" t="n">
        <x:v>0.6468594364165521</x:v>
      </x:c>
      <x:c r="I8" s="251" t="n">
        <x:v>0.6681233213224929</x:v>
      </x:c>
      <x:c r="J8" s="253" t="n">
        <x:v>4</x:v>
      </x:c>
      <x:c r="K8" s="254" t="n">
        <x:v>0</x:v>
      </x:c>
      <x:c r="L8" s="254" t="n">
        <x:v>0</x:v>
      </x:c>
      <x:c r="M8" s="255" t="n">
        <x:v>0</x:v>
      </x:c>
      <x:c r="N8" s="194"/>
      <x:c r="O8" s="203" t="str">
        <x:v>Worst condition</x:v>
      </x:c>
      <x:c r="P8" s="256" t="n">
        <x:f>D17</x:f>
        <x:v>0.9045681175206122</x:v>
      </x:c>
      <x:c r="Q8" s="256" t="n">
        <x:f>D18</x:f>
        <x:v>0.819355906476112</x:v>
      </x:c>
      <x:c r="R8" s="256" t="n">
        <x:f>D19</x:f>
        <x:v>0.7729358469773219</x:v>
      </x:c>
      <x:c r="S8" s="257" t="n">
        <x:f>D20</x:f>
        <x:v>0.6470048226615187</x:v>
      </x:c>
    </x:row>
    <x:row r="9" ht="15" hidden="0" customHeight="1">
      <x:c r="A9" s="258" t="str">
        <x:v>Arithmetic mean</x:v>
      </x:c>
      <x:c r="B9" s="259" t="n">
        <x:v>0.9045681175206122</x:v>
      </x:c>
      <x:c r="C9" s="259" t="n">
        <x:v>0.9162599640514544</x:v>
      </x:c>
      <x:c r="D9" s="259" t="n">
        <x:f>(B9+C9)/2</x:f>
        <x:v>0.9104140407860333</x:v>
      </x:c>
      <x:c r="E9" s="260" t="n">
        <x:f>RANK(D9,$D$9:$D$12,0)</x:f>
        <x:v>1</x:v>
      </x:c>
      <x:c r="F9" s="260" t="str">
        <x:v>GPT-4.1-mini</x:v>
      </x:c>
      <x:c r="G9" s="259" t="n">
        <x:v>0.9027409086813313</x:v>
      </x:c>
      <x:c r="H9" s="259" t="n">
        <x:v>0.910414541478638</x:v>
      </x:c>
      <x:c r="I9" s="259" t="n">
        <x:v>0.9177380097812087</x:v>
      </x:c>
      <x:c r="J9" s="261" t="n">
        <x:v>1</x:v>
      </x:c>
      <x:c r="K9" s="262" t="n">
        <x:v>1</x:v>
      </x:c>
      <x:c r="L9" s="262" t="n">
        <x:v>0</x:v>
      </x:c>
      <x:c r="M9" s="263" t="n">
        <x:v>0</x:v>
      </x:c>
      <x:c r="N9" s="194"/>
      <x:c r="O9" s="203" t="str">
        <x:v>Multiplicative penalty</x:v>
      </x:c>
      <x:c r="P9" s="256" t="n">
        <x:f>D21</x:f>
        <x:v>0.8940536325627076</x:v>
      </x:c>
      <x:c r="Q9" s="256" t="n">
        <x:f>D22</x:f>
        <x:v>0.80384941591462</x:v>
      </x:c>
      <x:c r="R9" s="256" t="n">
        <x:f>D23</x:f>
        <x:v>0.7419990710643958</x:v>
      </x:c>
      <x:c r="S9" s="257" t="n">
        <x:f>D24</x:f>
        <x:v>0.6207392829446774</x:v>
      </x:c>
    </x:row>
    <x:row r="10" ht="15" hidden="0" customHeight="1">
      <x:c r="A10" s="258" t="str">
        <x:v>Arithmetic mean</x:v>
      </x:c>
      <x:c r="B10" s="259" t="n">
        <x:v>0.819355906476112</x:v>
      </x:c>
      <x:c r="C10" s="259" t="n">
        <x:v>0.8384625001774612</x:v>
      </x:c>
      <x:c r="D10" s="259" t="n">
        <x:f>(B10+C10)/2</x:f>
        <x:v>0.8289092033267866</x:v>
      </x:c>
      <x:c r="E10" s="260" t="n">
        <x:f>RANK(D10,$D$9:$D$12,0)</x:f>
        <x:v>2</x:v>
      </x:c>
      <x:c r="F10" s="260" t="str">
        <x:v>Qwen2.5-7B</x:v>
      </x:c>
      <x:c r="G10" s="259" t="n">
        <x:v>0.8159775012687723</x:v>
      </x:c>
      <x:c r="H10" s="259" t="n">
        <x:v>0.8288702180334758</x:v>
      </x:c>
      <x:c r="I10" s="259" t="n">
        <x:v>0.8407051074659456</x:v>
      </x:c>
      <x:c r="J10" s="261" t="n">
        <x:v>2</x:v>
      </x:c>
      <x:c r="K10" s="262" t="n">
        <x:v>0</x:v>
      </x:c>
      <x:c r="L10" s="262" t="n">
        <x:v>1</x:v>
      </x:c>
      <x:c r="M10" s="263" t="n">
        <x:v>0</x:v>
      </x:c>
      <x:c r="N10" s="194"/>
      <x:c r="O10" s="208" t="str">
        <x:v>Additive penalty</x:v>
      </x:c>
      <x:c r="P10" s="264" t="n">
        <x:f>D25</x:f>
        <x:v>0.89287627098977</x:v>
      </x:c>
      <x:c r="Q10" s="264" t="n">
        <x:f>D26</x:f>
        <x:v>0.8002493127747629</x:v>
      </x:c>
      <x:c r="R10" s="264" t="n">
        <x:f>D27</x:f>
        <x:v>0.7320877853331403</x:v>
      </x:c>
      <x:c r="S10" s="265" t="n">
        <x:f>D28</x:f>
        <x:v>0.6055622338574495</x:v>
      </x:c>
    </x:row>
    <x:row r="11" ht="15" hidden="0" customHeight="1">
      <x:c r="A11" s="258" t="str">
        <x:v>Arithmetic mean</x:v>
      </x:c>
      <x:c r="B11" s="259" t="n">
        <x:v>0.7729358469773219</x:v>
      </x:c>
      <x:c r="C11" s="259" t="n">
        <x:v>0.8137839086215034</x:v>
      </x:c>
      <x:c r="D11" s="259" t="n">
        <x:f>(B11+C11)/2</x:f>
        <x:v>0.7933598777994126</x:v>
      </x:c>
      <x:c r="E11" s="260" t="n">
        <x:f>RANK(D11,$D$9:$D$12,0)</x:f>
        <x:v>3</x:v>
      </x:c>
      <x:c r="F11" s="260" t="str">
        <x:v>Claude Haiku 4.5</x:v>
      </x:c>
      <x:c r="G11" s="259" t="n">
        <x:v>0.7780864743364821</x:v>
      </x:c>
      <x:c r="H11" s="259" t="n">
        <x:v>0.7933576734206704</x:v>
      </x:c>
      <x:c r="I11" s="259" t="n">
        <x:v>0.8074123355147713</x:v>
      </x:c>
      <x:c r="J11" s="261" t="n">
        <x:v>3</x:v>
      </x:c>
      <x:c r="K11" s="262" t="n">
        <x:v>0</x:v>
      </x:c>
      <x:c r="L11" s="262" t="n">
        <x:v>0</x:v>
      </x:c>
      <x:c r="M11" s="263" t="n">
        <x:v>1</x:v>
      </x:c>
      <x:c r="N11" s="194"/>
      <x:c r="O11" s="194"/>
      <x:c r="P11" s="194"/>
      <x:c r="Q11" s="194"/>
      <x:c r="R11" s="194"/>
      <x:c r="S11" s="194"/>
    </x:row>
    <x:row r="12" ht="15" hidden="0" customHeight="1">
      <x:c r="A12" s="258" t="str">
        <x:v>Arithmetic mean</x:v>
      </x:c>
      <x:c r="B12" s="259" t="n">
        <x:v>0.6470048226615187</x:v>
      </x:c>
      <x:c r="C12" s="259" t="n">
        <x:v>0.688447411465588</x:v>
      </x:c>
      <x:c r="D12" s="259" t="n">
        <x:f>(B12+C12)/2</x:f>
        <x:v>0.6677261170635533</x:v>
      </x:c>
      <x:c r="E12" s="260" t="n">
        <x:f>RANK(D12,$D$9:$D$12,0)</x:f>
        <x:v>4</x:v>
      </x:c>
      <x:c r="F12" s="260" t="str">
        <x:v>Llama 3.1-8B</x:v>
      </x:c>
      <x:c r="G12" s="259" t="n">
        <x:v>0.6487804447814838</x:v>
      </x:c>
      <x:c r="H12" s="259" t="n">
        <x:v>0.6676088814708094</x:v>
      </x:c>
      <x:c r="I12" s="259" t="n">
        <x:v>0.6860900688251236</x:v>
      </x:c>
      <x:c r="J12" s="261" t="n">
        <x:v>4</x:v>
      </x:c>
      <x:c r="K12" s="262" t="n">
        <x:v>0</x:v>
      </x:c>
      <x:c r="L12" s="262" t="n">
        <x:v>0</x:v>
      </x:c>
      <x:c r="M12" s="263" t="n">
        <x:v>0</x:v>
      </x:c>
      <x:c r="N12" s="194"/>
      <x:c r="O12" s="194"/>
      <x:c r="P12" s="194"/>
      <x:c r="Q12" s="194"/>
      <x:c r="R12" s="194"/>
      <x:c r="S12" s="194"/>
    </x:row>
    <x:row r="13" ht="15" hidden="0" customHeight="1">
      <x:c r="A13" s="250" t="str">
        <x:v>Geometric mean</x:v>
      </x:c>
      <x:c r="B13" s="251" t="n">
        <x:v>0.9045681175206122</x:v>
      </x:c>
      <x:c r="C13" s="251" t="n">
        <x:v>0.9162599640514544</x:v>
      </x:c>
      <x:c r="D13" s="251" t="n">
        <x:f>SQRT(B13*C13)</x:f>
        <x:v>0.9103952717592112</x:v>
      </x:c>
      <x:c r="E13" s="252" t="n">
        <x:f>RANK(D13,$D$13:$D$16,0)</x:f>
        <x:v>1</x:v>
      </x:c>
      <x:c r="F13" s="252" t="str">
        <x:v>GPT-4.1-mini</x:v>
      </x:c>
      <x:c r="G13" s="251" t="n">
        <x:v>0.9027068010458107</x:v>
      </x:c>
      <x:c r="H13" s="251" t="n">
        <x:v>0.9103982491193345</x:v>
      </x:c>
      <x:c r="I13" s="251" t="n">
        <x:v>0.9177258114050368</x:v>
      </x:c>
      <x:c r="J13" s="253" t="n">
        <x:v>1</x:v>
      </x:c>
      <x:c r="K13" s="254" t="n">
        <x:v>1</x:v>
      </x:c>
      <x:c r="L13" s="254" t="n">
        <x:v>0</x:v>
      </x:c>
      <x:c r="M13" s="255" t="n">
        <x:v>0</x:v>
      </x:c>
      <x:c r="N13" s="194"/>
      <x:c r="O13" s="194"/>
      <x:c r="P13" s="194"/>
      <x:c r="Q13" s="194"/>
      <x:c r="R13" s="194"/>
      <x:c r="S13" s="194"/>
    </x:row>
    <x:row r="14" ht="15" hidden="0" customHeight="1">
      <x:c r="A14" s="250" t="str">
        <x:v>Geometric mean</x:v>
      </x:c>
      <x:c r="B14" s="251" t="n">
        <x:v>0.819355906476112</x:v>
      </x:c>
      <x:c r="C14" s="251" t="n">
        <x:v>0.8384625001774612</x:v>
      </x:c>
      <x:c r="D14" s="251" t="n">
        <x:f>SQRT(B14*C14)</x:f>
        <x:v>0.8288541499438432</x:v>
      </x:c>
      <x:c r="E14" s="252" t="n">
        <x:f>RANK(D14,$D$13:$D$16,0)</x:f>
        <x:v>2</x:v>
      </x:c>
      <x:c r="F14" s="252" t="str">
        <x:v>Qwen2.5-7B</x:v>
      </x:c>
      <x:c r="G14" s="251" t="n">
        <x:v>0.8158923923482395</x:v>
      </x:c>
      <x:c r="H14" s="251" t="n">
        <x:v>0.8288061084714942</x:v>
      </x:c>
      <x:c r="I14" s="251" t="n">
        <x:v>0.8406498302297388</x:v>
      </x:c>
      <x:c r="J14" s="253" t="n">
        <x:v>2</x:v>
      </x:c>
      <x:c r="K14" s="254" t="n">
        <x:v>0</x:v>
      </x:c>
      <x:c r="L14" s="254" t="n">
        <x:v>1</x:v>
      </x:c>
      <x:c r="M14" s="255" t="n">
        <x:v>0</x:v>
      </x:c>
      <x:c r="N14" s="194"/>
      <x:c r="O14" s="194"/>
      <x:c r="P14" s="194"/>
      <x:c r="Q14" s="194"/>
      <x:c r="R14" s="194"/>
      <x:c r="S14" s="194"/>
    </x:row>
    <x:row r="15" ht="15" hidden="0" customHeight="1">
      <x:c r="A15" s="250" t="str">
        <x:v>Geometric mean</x:v>
      </x:c>
      <x:c r="B15" s="251" t="n">
        <x:v>0.7729358469773219</x:v>
      </x:c>
      <x:c r="C15" s="251" t="n">
        <x:v>0.8137839086215034</x:v>
      </x:c>
      <x:c r="D15" s="251" t="n">
        <x:f>SQRT(B15*C15)</x:f>
        <x:v>0.7930969390099026</x:v>
      </x:c>
      <x:c r="E15" s="252" t="n">
        <x:f>RANK(D15,$D$13:$D$16,0)</x:f>
        <x:v>3</x:v>
      </x:c>
      <x:c r="F15" s="252" t="str">
        <x:v>Claude Haiku 4.5</x:v>
      </x:c>
      <x:c r="G15" s="251" t="n">
        <x:v>0.777875210140107</x:v>
      </x:c>
      <x:c r="H15" s="251" t="n">
        <x:v>0.7931014031563346</x:v>
      </x:c>
      <x:c r="I15" s="251" t="n">
        <x:v>0.8071526491512513</x:v>
      </x:c>
      <x:c r="J15" s="253" t="n">
        <x:v>3</x:v>
      </x:c>
      <x:c r="K15" s="254" t="n">
        <x:v>0</x:v>
      </x:c>
      <x:c r="L15" s="254" t="n">
        <x:v>0</x:v>
      </x:c>
      <x:c r="M15" s="255" t="n">
        <x:v>1</x:v>
      </x:c>
      <x:c r="N15" s="194"/>
      <x:c r="O15" s="194"/>
      <x:c r="P15" s="194"/>
      <x:c r="Q15" s="194"/>
      <x:c r="R15" s="194"/>
      <x:c r="S15" s="194"/>
    </x:row>
    <x:row r="16" ht="15" hidden="0" customHeight="1">
      <x:c r="A16" s="250" t="str">
        <x:v>Geometric mean</x:v>
      </x:c>
      <x:c r="B16" s="251" t="n">
        <x:v>0.6470048226615187</x:v>
      </x:c>
      <x:c r="C16" s="251" t="n">
        <x:v>0.688447411465588</x:v>
      </x:c>
      <x:c r="D16" s="251" t="n">
        <x:f>SQRT(B16*C16)</x:f>
        <x:v>0.6674045215362826</x:v>
      </x:c>
      <x:c r="E16" s="252" t="n">
        <x:f>RANK(D16,$D$13:$D$16,0)</x:f>
        <x:v>4</x:v>
      </x:c>
      <x:c r="F16" s="252" t="str">
        <x:v>Llama 3.1-8B</x:v>
      </x:c>
      <x:c r="G16" s="251" t="n">
        <x:v>0.648389378496407</x:v>
      </x:c>
      <x:c r="H16" s="251" t="n">
        <x:v>0.6672277017457238</x:v>
      </x:c>
      <x:c r="I16" s="251" t="n">
        <x:v>0.6857291589764951</x:v>
      </x:c>
      <x:c r="J16" s="253" t="n">
        <x:v>4</x:v>
      </x:c>
      <x:c r="K16" s="254" t="n">
        <x:v>0</x:v>
      </x:c>
      <x:c r="L16" s="254" t="n">
        <x:v>0</x:v>
      </x:c>
      <x:c r="M16" s="255" t="n">
        <x:v>0</x:v>
      </x:c>
      <x:c r="N16" s="194"/>
      <x:c r="O16" s="194"/>
      <x:c r="P16" s="194"/>
      <x:c r="Q16" s="194"/>
      <x:c r="R16" s="194"/>
      <x:c r="S16" s="194"/>
    </x:row>
    <x:row r="17" ht="15" hidden="0" customHeight="1">
      <x:c r="A17" s="258" t="str">
        <x:v>Worst condition</x:v>
      </x:c>
      <x:c r="B17" s="259" t="n">
        <x:v>0.9045681175206122</x:v>
      </x:c>
      <x:c r="C17" s="259" t="n">
        <x:v>0.9162599640514544</x:v>
      </x:c>
      <x:c r="D17" s="259" t="n">
        <x:f>MIN(B17,C17)</x:f>
        <x:v>0.9045681175206122</x:v>
      </x:c>
      <x:c r="E17" s="260" t="n">
        <x:f>RANK(D17,$D$17:$D$20,0)</x:f>
        <x:v>1</x:v>
      </x:c>
      <x:c r="F17" s="260" t="str">
        <x:v>GPT-4.1-mini</x:v>
      </x:c>
      <x:c r="G17" s="259" t="n">
        <x:v>0.8956641903897474</x:v>
      </x:c>
      <x:c r="H17" s="259" t="n">
        <x:v>0.9045456538000892</x:v>
      </x:c>
      <x:c r="I17" s="259" t="n">
        <x:v>0.913109651781189</x:v>
      </x:c>
      <x:c r="J17" s="261" t="n">
        <x:v>1</x:v>
      </x:c>
      <x:c r="K17" s="262" t="n">
        <x:v>1</x:v>
      </x:c>
      <x:c r="L17" s="262" t="n">
        <x:v>0</x:v>
      </x:c>
      <x:c r="M17" s="263" t="n">
        <x:v>0</x:v>
      </x:c>
      <x:c r="N17" s="194"/>
      <x:c r="O17" s="194"/>
      <x:c r="P17" s="194"/>
      <x:c r="Q17" s="194"/>
      <x:c r="R17" s="194"/>
      <x:c r="S17" s="194"/>
    </x:row>
    <x:row r="18" ht="15" hidden="0" customHeight="1">
      <x:c r="A18" s="258" t="str">
        <x:v>Worst condition</x:v>
      </x:c>
      <x:c r="B18" s="259" t="n">
        <x:v>0.819355906476112</x:v>
      </x:c>
      <x:c r="C18" s="259" t="n">
        <x:v>0.8384625001774612</x:v>
      </x:c>
      <x:c r="D18" s="259" t="n">
        <x:f>MIN(B18,C18)</x:f>
        <x:v>0.819355906476112</x:v>
      </x:c>
      <x:c r="E18" s="260" t="n">
        <x:f>RANK(D18,$D$17:$D$20,0)</x:f>
        <x:v>2</x:v>
      </x:c>
      <x:c r="F18" s="260" t="str">
        <x:v>Qwen2.5-7B</x:v>
      </x:c>
      <x:c r="G18" s="259" t="n">
        <x:v>0.804647364687321</x:v>
      </x:c>
      <x:c r="H18" s="259" t="n">
        <x:v>0.8192993098913866</x:v>
      </x:c>
      <x:c r="I18" s="259" t="n">
        <x:v>0.8328616944293246</x:v>
      </x:c>
      <x:c r="J18" s="261" t="n">
        <x:v>2</x:v>
      </x:c>
      <x:c r="K18" s="262" t="n">
        <x:v>0</x:v>
      </x:c>
      <x:c r="L18" s="262" t="n">
        <x:v>1</x:v>
      </x:c>
      <x:c r="M18" s="263" t="n">
        <x:v>0</x:v>
      </x:c>
      <x:c r="N18" s="194"/>
      <x:c r="O18" s="194"/>
      <x:c r="P18" s="194"/>
      <x:c r="Q18" s="194"/>
      <x:c r="R18" s="194"/>
      <x:c r="S18" s="194"/>
    </x:row>
    <x:row r="19" ht="15" hidden="0" customHeight="1">
      <x:c r="A19" s="258" t="str">
        <x:v>Worst condition</x:v>
      </x:c>
      <x:c r="B19" s="259" t="n">
        <x:v>0.7729358469773219</x:v>
      </x:c>
      <x:c r="C19" s="259" t="n">
        <x:v>0.8137839086215034</x:v>
      </x:c>
      <x:c r="D19" s="259" t="n">
        <x:f>MIN(B19,C19)</x:f>
        <x:v>0.7729358469773219</x:v>
      </x:c>
      <x:c r="E19" s="260" t="n">
        <x:f>RANK(D19,$D$17:$D$20,0)</x:f>
        <x:v>3</x:v>
      </x:c>
      <x:c r="F19" s="260" t="str">
        <x:v>Claude Haiku 4.5</x:v>
      </x:c>
      <x:c r="G19" s="259" t="n">
        <x:v>0.7553995674367361</x:v>
      </x:c>
      <x:c r="H19" s="259" t="n">
        <x:v>0.7729006730772952</x:v>
      </x:c>
      <x:c r="I19" s="259" t="n">
        <x:v>0.7891384311898947</x:v>
      </x:c>
      <x:c r="J19" s="261" t="n">
        <x:v>3</x:v>
      </x:c>
      <x:c r="K19" s="262" t="n">
        <x:v>0</x:v>
      </x:c>
      <x:c r="L19" s="262" t="n">
        <x:v>0</x:v>
      </x:c>
      <x:c r="M19" s="263" t="n">
        <x:v>1</x:v>
      </x:c>
      <x:c r="N19" s="194"/>
      <x:c r="O19" s="194"/>
      <x:c r="P19" s="194"/>
      <x:c r="Q19" s="194"/>
      <x:c r="R19" s="194"/>
      <x:c r="S19" s="194"/>
    </x:row>
    <x:row r="20" ht="15" hidden="0" customHeight="1">
      <x:c r="A20" s="258" t="str">
        <x:v>Worst condition</x:v>
      </x:c>
      <x:c r="B20" s="259" t="n">
        <x:v>0.6470048226615187</x:v>
      </x:c>
      <x:c r="C20" s="259" t="n">
        <x:v>0.688447411465588</x:v>
      </x:c>
      <x:c r="D20" s="259" t="n">
        <x:f>MIN(B20,C20)</x:f>
        <x:v>0.6470048226615187</x:v>
      </x:c>
      <x:c r="E20" s="260" t="n">
        <x:f>RANK(D20,$D$17:$D$20,0)</x:f>
        <x:v>4</x:v>
      </x:c>
      <x:c r="F20" s="260" t="str">
        <x:v>Llama 3.1-8B</x:v>
      </x:c>
      <x:c r="G20" s="259" t="n">
        <x:v>0.6254658365405377</x:v>
      </x:c>
      <x:c r="H20" s="259" t="n">
        <x:v>0.6468594364165521</x:v>
      </x:c>
      <x:c r="I20" s="259" t="n">
        <x:v>0.6681233213224929</x:v>
      </x:c>
      <x:c r="J20" s="261" t="n">
        <x:v>4</x:v>
      </x:c>
      <x:c r="K20" s="262" t="n">
        <x:v>0</x:v>
      </x:c>
      <x:c r="L20" s="262" t="n">
        <x:v>0</x:v>
      </x:c>
      <x:c r="M20" s="263" t="n">
        <x:v>0</x:v>
      </x:c>
      <x:c r="N20" s="194"/>
      <x:c r="O20" s="194"/>
      <x:c r="P20" s="194"/>
      <x:c r="Q20" s="194"/>
      <x:c r="R20" s="194"/>
      <x:c r="S20" s="194"/>
    </x:row>
    <x:row r="21" ht="15" hidden="0" customHeight="1">
      <x:c r="A21" s="250" t="str">
        <x:v>Multiplicative penalty</x:v>
      </x:c>
      <x:c r="B21" s="251" t="n">
        <x:v>0.9045681175206122</x:v>
      </x:c>
      <x:c r="C21" s="251" t="n">
        <x:v>0.9162599640514544</x:v>
      </x:c>
      <x:c r="D21" s="251" t="n">
        <x:f>B21*EXP(-ABS(C21-B21))</x:f>
        <x:v>0.8940536325627076</x:v>
      </x:c>
      <x:c r="E21" s="252" t="n">
        <x:f>RANK(D21,$D$21:$D$24,0)</x:f>
        <x:v>1</x:v>
      </x:c>
      <x:c r="F21" s="252" t="str">
        <x:v>GPT-4.1-mini</x:v>
      </x:c>
      <x:c r="G21" s="251" t="n">
        <x:v>0.8811358701395384</x:v>
      </x:c>
      <x:c r="H21" s="251" t="n">
        <x:v>0.8941211965462855</x:v>
      </x:c>
      <x:c r="I21" s="251" t="n">
        <x:v>0.9065974268524519</x:v>
      </x:c>
      <x:c r="J21" s="253" t="n">
        <x:v>1</x:v>
      </x:c>
      <x:c r="K21" s="254" t="n">
        <x:v>1</x:v>
      </x:c>
      <x:c r="L21" s="254" t="n">
        <x:v>0</x:v>
      </x:c>
      <x:c r="M21" s="255" t="n">
        <x:v>0</x:v>
      </x:c>
      <x:c r="N21" s="194"/>
      <x:c r="O21" s="194"/>
      <x:c r="P21" s="194"/>
      <x:c r="Q21" s="194"/>
      <x:c r="R21" s="194"/>
      <x:c r="S21" s="194"/>
    </x:row>
    <x:row r="22" ht="15" hidden="0" customHeight="1">
      <x:c r="A22" s="250" t="str">
        <x:v>Multiplicative penalty</x:v>
      </x:c>
      <x:c r="B22" s="251" t="n">
        <x:v>0.819355906476112</x:v>
      </x:c>
      <x:c r="C22" s="251" t="n">
        <x:v>0.8384625001774612</x:v>
      </x:c>
      <x:c r="D22" s="251" t="n">
        <x:f>B22*EXP(-ABS(C22-B22))</x:f>
        <x:v>0.80384941591462</x:v>
      </x:c>
      <x:c r="E22" s="252" t="n">
        <x:f>RANK(D22,$D$21:$D$24,0)</x:f>
        <x:v>2</x:v>
      </x:c>
      <x:c r="F22" s="252" t="str">
        <x:v>Qwen2.5-7B</x:v>
      </x:c>
      <x:c r="G22" s="251" t="n">
        <x:v>0.7835372694106283</x:v>
      </x:c>
      <x:c r="H22" s="251" t="n">
        <x:v>0.8038280115779375</x:v>
      </x:c>
      <x:c r="I22" s="251" t="n">
        <x:v>0.82322849076072</x:v>
      </x:c>
      <x:c r="J22" s="253" t="n">
        <x:v>2</x:v>
      </x:c>
      <x:c r="K22" s="254" t="n">
        <x:v>0</x:v>
      </x:c>
      <x:c r="L22" s="254" t="n">
        <x:v>1</x:v>
      </x:c>
      <x:c r="M22" s="255" t="n">
        <x:v>0</x:v>
      </x:c>
      <x:c r="N22" s="194"/>
      <x:c r="O22" s="194"/>
      <x:c r="P22" s="194"/>
      <x:c r="Q22" s="194"/>
      <x:c r="R22" s="194"/>
      <x:c r="S22" s="194"/>
    </x:row>
    <x:row r="23" ht="15" hidden="0" customHeight="1">
      <x:c r="A23" s="250" t="str">
        <x:v>Multiplicative penalty</x:v>
      </x:c>
      <x:c r="B23" s="251" t="n">
        <x:v>0.7729358469773219</x:v>
      </x:c>
      <x:c r="C23" s="251" t="n">
        <x:v>0.8137839086215034</x:v>
      </x:c>
      <x:c r="D23" s="251" t="n">
        <x:f>B23*EXP(-ABS(C23-B23))</x:f>
        <x:v>0.7419990710643958</x:v>
      </x:c>
      <x:c r="E23" s="252" t="n">
        <x:f>RANK(D23,$D$21:$D$24,0)</x:f>
        <x:v>3</x:v>
      </x:c>
      <x:c r="F23" s="252" t="str">
        <x:v>Claude Haiku 4.5</x:v>
      </x:c>
      <x:c r="G23" s="251" t="n">
        <x:v>0.7186009605049749</x:v>
      </x:c>
      <x:c r="H23" s="251" t="n">
        <x:v>0.7419621205898843</x:v>
      </x:c>
      <x:c r="I23" s="251" t="n">
        <x:v>0.7642657291234007</x:v>
      </x:c>
      <x:c r="J23" s="253" t="n">
        <x:v>3</x:v>
      </x:c>
      <x:c r="K23" s="254" t="n">
        <x:v>0</x:v>
      </x:c>
      <x:c r="L23" s="254" t="n">
        <x:v>0</x:v>
      </x:c>
      <x:c r="M23" s="255" t="n">
        <x:v>1</x:v>
      </x:c>
      <x:c r="N23" s="194"/>
      <x:c r="O23" s="194"/>
      <x:c r="P23" s="194"/>
      <x:c r="Q23" s="194"/>
      <x:c r="R23" s="194"/>
      <x:c r="S23" s="194"/>
    </x:row>
    <x:row r="24" ht="15" hidden="0" customHeight="1">
      <x:c r="A24" s="250" t="str">
        <x:v>Multiplicative penalty</x:v>
      </x:c>
      <x:c r="B24" s="251" t="n">
        <x:v>0.6470048226615187</x:v>
      </x:c>
      <x:c r="C24" s="251" t="n">
        <x:v>0.688447411465588</x:v>
      </x:c>
      <x:c r="D24" s="251" t="n">
        <x:f>B24*EXP(-ABS(C24-B24))</x:f>
        <x:v>0.6207392829446774</x:v>
      </x:c>
      <x:c r="E24" s="252" t="n">
        <x:f>RANK(D24,$D$21:$D$24,0)</x:f>
        <x:v>4</x:v>
      </x:c>
      <x:c r="F24" s="252" t="str">
        <x:v>Llama 3.1-8B</x:v>
      </x:c>
      <x:c r="G24" s="251" t="n">
        <x:v>0.5931228335724302</x:v>
      </x:c>
      <x:c r="H24" s="251" t="n">
        <x:v>0.6207403736406454</x:v>
      </x:c>
      <x:c r="I24" s="251" t="n">
        <x:v>0.6484108816375922</x:v>
      </x:c>
      <x:c r="J24" s="253" t="n">
        <x:v>4</x:v>
      </x:c>
      <x:c r="K24" s="254" t="n">
        <x:v>0</x:v>
      </x:c>
      <x:c r="L24" s="254" t="n">
        <x:v>0</x:v>
      </x:c>
      <x:c r="M24" s="255" t="n">
        <x:v>0</x:v>
      </x:c>
      <x:c r="N24" s="194"/>
      <x:c r="O24" s="194"/>
      <x:c r="P24" s="194"/>
      <x:c r="Q24" s="194"/>
      <x:c r="R24" s="194"/>
      <x:c r="S24" s="194"/>
    </x:row>
    <x:row r="25" ht="15" hidden="0" customHeight="1">
      <x:c r="A25" s="258" t="str">
        <x:v>Additive penalty</x:v>
      </x:c>
      <x:c r="B25" s="259" t="n">
        <x:v>0.9045681175206122</x:v>
      </x:c>
      <x:c r="C25" s="259" t="n">
        <x:v>0.9162599640514544</x:v>
      </x:c>
      <x:c r="D25" s="259" t="n">
        <x:f>MAX(0,B25-ABS(C25-B25))</x:f>
        <x:v>0.89287627098977</x:v>
      </x:c>
      <x:c r="E25" s="260" t="n">
        <x:f>RANK(D25,$D$25:$D$28,0)</x:f>
        <x:v>1</x:v>
      </x:c>
      <x:c r="F25" s="260" t="str">
        <x:v>GPT-4.1-mini</x:v>
      </x:c>
      <x:c r="G25" s="259" t="n">
        <x:v>0.8791854228515986</x:v>
      </x:c>
      <x:c r="H25" s="259" t="n">
        <x:v>0.8929921923585484</x:v>
      </x:c>
      <x:c r="I25" s="259" t="n">
        <x:v>0.9060552872399282</x:v>
      </x:c>
      <x:c r="J25" s="261" t="n">
        <x:v>1</x:v>
      </x:c>
      <x:c r="K25" s="262" t="n">
        <x:v>1</x:v>
      </x:c>
      <x:c r="L25" s="262" t="n">
        <x:v>0</x:v>
      </x:c>
      <x:c r="M25" s="263" t="n">
        <x:v>0</x:v>
      </x:c>
      <x:c r="N25" s="194"/>
      <x:c r="O25" s="194"/>
      <x:c r="P25" s="194"/>
      <x:c r="Q25" s="194"/>
      <x:c r="R25" s="194"/>
      <x:c r="S25" s="194"/>
    </x:row>
    <x:row r="26" ht="15" hidden="0" customHeight="1">
      <x:c r="A26" s="258" t="str">
        <x:v>Additive penalty</x:v>
      </x:c>
      <x:c r="B26" s="259" t="n">
        <x:v>0.819355906476112</x:v>
      </x:c>
      <x:c r="C26" s="259" t="n">
        <x:v>0.8384625001774612</x:v>
      </x:c>
      <x:c r="D26" s="259" t="n">
        <x:f>MAX(0,B26-ABS(C26-B26))</x:f>
        <x:v>0.8002493127747629</x:v>
      </x:c>
      <x:c r="E26" s="260" t="n">
        <x:f>RANK(D26,$D$25:$D$28,0)</x:f>
        <x:v>2</x:v>
      </x:c>
      <x:c r="F26" s="260" t="str">
        <x:v>Qwen2.5-7B</x:v>
      </x:c>
      <x:c r="G26" s="259" t="n">
        <x:v>0.7776078610672233</x:v>
      </x:c>
      <x:c r="H26" s="259" t="n">
        <x:v>0.8002533040326132</x:v>
      </x:c>
      <x:c r="I26" s="259" t="n">
        <x:v>0.8214459492014521</x:v>
      </x:c>
      <x:c r="J26" s="261" t="n">
        <x:v>2</x:v>
      </x:c>
      <x:c r="K26" s="262" t="n">
        <x:v>0</x:v>
      </x:c>
      <x:c r="L26" s="262" t="n">
        <x:v>1</x:v>
      </x:c>
      <x:c r="M26" s="263" t="n">
        <x:v>0</x:v>
      </x:c>
      <x:c r="N26" s="194"/>
      <x:c r="O26" s="194"/>
      <x:c r="P26" s="194"/>
      <x:c r="Q26" s="194"/>
      <x:c r="R26" s="194"/>
      <x:c r="S26" s="194"/>
    </x:row>
    <x:row r="27" ht="15" hidden="0" customHeight="1">
      <x:c r="A27" s="258" t="str">
        <x:v>Additive penalty</x:v>
      </x:c>
      <x:c r="B27" s="259" t="n">
        <x:v>0.7729358469773219</x:v>
      </x:c>
      <x:c r="C27" s="259" t="n">
        <x:v>0.8137839086215034</x:v>
      </x:c>
      <x:c r="D27" s="259" t="n">
        <x:f>MAX(0,B27-ABS(C27-B27))</x:f>
        <x:v>0.7320877853331403</x:v>
      </x:c>
      <x:c r="E27" s="260" t="n">
        <x:f>RANK(D27,$D$25:$D$28,0)</x:f>
        <x:v>3</x:v>
      </x:c>
      <x:c r="F27" s="260" t="str">
        <x:v>Claude Haiku 4.5</x:v>
      </x:c>
      <x:c r="G27" s="259" t="n">
        <x:v>0.7052222116681381</x:v>
      </x:c>
      <x:c r="H27" s="259" t="n">
        <x:v>0.7320972034860609</x:v>
      </x:c>
      <x:c r="I27" s="259" t="n">
        <x:v>0.7573315311436307</x:v>
      </x:c>
      <x:c r="J27" s="261" t="n">
        <x:v>3</x:v>
      </x:c>
      <x:c r="K27" s="262" t="n">
        <x:v>0</x:v>
      </x:c>
      <x:c r="L27" s="262" t="n">
        <x:v>0</x:v>
      </x:c>
      <x:c r="M27" s="263" t="n">
        <x:v>1</x:v>
      </x:c>
      <x:c r="N27" s="194"/>
      <x:c r="O27" s="194"/>
      <x:c r="P27" s="194"/>
      <x:c r="Q27" s="194"/>
      <x:c r="R27" s="194"/>
      <x:c r="S27" s="194"/>
    </x:row>
    <x:row r="28" ht="15" hidden="0" customHeight="1">
      <x:c r="A28" s="266" t="str">
        <x:v>Additive penalty</x:v>
      </x:c>
      <x:c r="B28" s="267" t="n">
        <x:v>0.6470048226615187</x:v>
      </x:c>
      <x:c r="C28" s="267" t="n">
        <x:v>0.688447411465588</x:v>
      </x:c>
      <x:c r="D28" s="267" t="n">
        <x:f>MAX(0,B28-ABS(C28-B28))</x:f>
        <x:v>0.6055622338574495</x:v>
      </x:c>
      <x:c r="E28" s="268" t="n">
        <x:f>RANK(D28,$D$25:$D$28,0)</x:f>
        <x:v>4</x:v>
      </x:c>
      <x:c r="F28" s="268" t="str">
        <x:v>Llama 3.1-8B</x:v>
      </x:c>
      <x:c r="G28" s="267" t="n">
        <x:v>0.5708001145988596</x:v>
      </x:c>
      <x:c r="H28" s="267" t="n">
        <x:v>0.6055983745321892</x:v>
      </x:c>
      <x:c r="I28" s="267" t="n">
        <x:v>0.6394803781385947</x:v>
      </x:c>
      <x:c r="J28" s="269" t="n">
        <x:v>4</x:v>
      </x:c>
      <x:c r="K28" s="270" t="n">
        <x:v>0</x:v>
      </x:c>
      <x:c r="L28" s="270" t="n">
        <x:v>0</x:v>
      </x:c>
      <x:c r="M28" s="271" t="n">
        <x:v>0</x:v>
      </x:c>
      <x:c r="N28" s="194"/>
      <x:c r="O28" s="194"/>
      <x:c r="P28" s="194"/>
      <x:c r="Q28" s="194"/>
      <x:c r="R28" s="194"/>
      <x:c r="S28" s="194"/>
    </x:row>
    <x:row r="29"/>
    <x:row r="30"/>
    <x:row r="31"/>
  </x:sheetData>
  <x:mergeCells>
    <x:mergeCell ref="A1:M1"/>
    <x:mergeCell ref="A2:M2"/>
  </x:mergeCells>
  <x:conditionalFormatting sqref="E5:E28">
    <x:cfRule type="cellIs" dxfId="2" priority="1" operator="equal">
      <x:formula>1</x:formula>
    </x:cfRule>
  </x:conditionalFormatting>
  <x:pageMargins left="0.7" right="0.7" top="0.75" bottom="0.75" header="0.3" footer="0.3"/>
  <x:drawing xmlns:r="http://schemas.openxmlformats.org/officeDocument/2006/relationships" r:id="Rf791536c2f0a4983"/>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20" hidden="0" customWidth="1"/>
    <x:col min="3" max="3" width="20" hidden="0" customWidth="1"/>
    <x:col min="4" max="4" width="14" hidden="0" customWidth="1"/>
    <x:col min="5" max="5" width="14" hidden="0" customWidth="1"/>
    <x:col min="6" max="6" width="14" hidden="0" customWidth="1"/>
    <x:col min="7" max="7" width="14" hidden="0" customWidth="1"/>
    <x:col min="8" max="8" width="12" hidden="0" customWidth="1"/>
  </x:cols>
  <x:sheetData>
    <x:row r="1" ht="21.600000381469727" hidden="0" customHeight="1">
      <x:c r="A1" s="192" t="str">
        <x:v>Pairwise model comparisons by alternative score</x:v>
      </x:c>
      <x:c r="B1" s="192" t="str">
        <x:v>Pairwise model comparisons by alternative score</x:v>
      </x:c>
      <x:c r="C1" s="192" t="str">
        <x:v>Pairwise model comparisons by alternative score</x:v>
      </x:c>
      <x:c r="D1" s="192" t="str">
        <x:v>Pairwise model comparisons by alternative score</x:v>
      </x:c>
      <x:c r="E1" s="192" t="str">
        <x:v>Pairwise model comparisons by alternative score</x:v>
      </x:c>
      <x:c r="F1" s="192" t="str">
        <x:v>Pairwise model comparisons by alternative score</x:v>
      </x:c>
      <x:c r="G1" s="192" t="str">
        <x:v>Pairwise model comparisons by alternative score</x:v>
      </x:c>
      <x:c r="H1" s="192" t="str">
        <x:v>Pairwise model comparisons by alternative score</x:v>
      </x:c>
    </x:row>
    <x:row r="2" ht="15" hidden="0" customHeight="1">
      <x:c r="A2" s="193" t="str">
        <x:v>Difference = model A score - model B score. A positive 95% CI lower bound supports the stated pairwise ordering in the bootstrap samples.</x:v>
      </x:c>
      <x:c r="B2" s="193" t="str">
        <x:v>Difference = model A score - model B score. A positive 95% CI lower bound supports the stated pairwise ordering in the bootstrap samples.</x:v>
      </x:c>
      <x:c r="C2" s="193" t="str">
        <x:v>Difference = model A score - model B score. A positive 95% CI lower bound supports the stated pairwise ordering in the bootstrap samples.</x:v>
      </x:c>
      <x:c r="D2" s="193" t="str">
        <x:v>Difference = model A score - model B score. A positive 95% CI lower bound supports the stated pairwise ordering in the bootstrap samples.</x:v>
      </x:c>
      <x:c r="E2" s="193" t="str">
        <x:v>Difference = model A score - model B score. A positive 95% CI lower bound supports the stated pairwise ordering in the bootstrap samples.</x:v>
      </x:c>
      <x:c r="F2" s="193" t="str">
        <x:v>Difference = model A score - model B score. A positive 95% CI lower bound supports the stated pairwise ordering in the bootstrap samples.</x:v>
      </x:c>
      <x:c r="G2" s="193" t="str">
        <x:v>Difference = model A score - model B score. A positive 95% CI lower bound supports the stated pairwise ordering in the bootstrap samples.</x:v>
      </x:c>
      <x:c r="H2" s="193" t="str">
        <x:v>Difference = model A score - model B score. A positive 95% CI lower bound supports the stated pairwise ordering in the bootstrap samples.</x:v>
      </x:c>
    </x:row>
    <x:row r="3" ht="15" hidden="0" customHeight="1">
      <x:c r="A3" s="194"/>
      <x:c r="B3" s="194"/>
      <x:c r="C3" s="194"/>
      <x:c r="D3" s="194"/>
      <x:c r="E3" s="194"/>
      <x:c r="F3" s="194"/>
      <x:c r="G3" s="194"/>
      <x:c r="H3" s="194"/>
    </x:row>
    <x:row r="4" ht="15" hidden="0" customHeight="1">
      <x:c r="A4" s="195" t="str">
        <x:v>Score definition</x:v>
      </x:c>
      <x:c r="B4" s="213" t="str">
        <x:v>Model A</x:v>
      </x:c>
      <x:c r="C4" s="213" t="str">
        <x:v>Model B</x:v>
      </x:c>
      <x:c r="D4" s="213" t="str">
        <x:v>Score difference</x:v>
      </x:c>
      <x:c r="E4" s="213" t="str">
        <x:v>95% CI low</x:v>
      </x:c>
      <x:c r="F4" s="213" t="str">
        <x:v>Median</x:v>
      </x:c>
      <x:c r="G4" s="213" t="str">
        <x:v>95% CI high</x:v>
      </x:c>
      <x:c r="H4" s="196" t="str">
        <x:v>P(A&gt;B)</x:v>
      </x:c>
    </x:row>
    <x:row r="5" ht="15" hidden="0" customHeight="1">
      <x:c r="A5" s="198" t="str">
        <x:v>Baseline only</x:v>
      </x:c>
      <x:c r="B5" s="218" t="str">
        <x:v>GPT-4.1-mini</x:v>
      </x:c>
      <x:c r="C5" s="218" t="str">
        <x:v>Qwen2.5-7B</x:v>
      </x:c>
      <x:c r="D5" s="214" t="n">
        <x:v>0.08521221104450016</x:v>
      </x:c>
      <x:c r="E5" s="214" t="n">
        <x:v>0.07302850777064858</x:v>
      </x:c>
      <x:c r="F5" s="214" t="n">
        <x:v>0.08517303189386621</x:v>
      </x:c>
      <x:c r="G5" s="214" t="n">
        <x:v>0.09809523017034483</x:v>
      </x:c>
      <x:c r="H5" s="272" t="n">
        <x:v>1</x:v>
      </x:c>
    </x:row>
    <x:row r="6" ht="15" hidden="0" customHeight="1">
      <x:c r="A6" s="203" t="str">
        <x:v>Baseline only</x:v>
      </x:c>
      <x:c r="B6" s="221" t="str">
        <x:v>GPT-4.1-mini</x:v>
      </x:c>
      <x:c r="C6" s="221" t="str">
        <x:v>Claude Haiku 4.5</x:v>
      </x:c>
      <x:c r="D6" s="215" t="n">
        <x:v>0.1316322705432903</x:v>
      </x:c>
      <x:c r="E6" s="215" t="n">
        <x:v>0.11756190694322916</x:v>
      </x:c>
      <x:c r="F6" s="215" t="n">
        <x:v>0.13157538773747984</x:v>
      </x:c>
      <x:c r="G6" s="215" t="n">
        <x:v>0.14638320695452564</x:v>
      </x:c>
      <x:c r="H6" s="273" t="n">
        <x:v>1</x:v>
      </x:c>
    </x:row>
    <x:row r="7" ht="15" hidden="0" customHeight="1">
      <x:c r="A7" s="203" t="str">
        <x:v>Baseline only</x:v>
      </x:c>
      <x:c r="B7" s="221" t="str">
        <x:v>GPT-4.1-mini</x:v>
      </x:c>
      <x:c r="C7" s="221" t="str">
        <x:v>Llama 3.1-8B</x:v>
      </x:c>
      <x:c r="D7" s="215" t="n">
        <x:v>0.25756329485909346</x:v>
      </x:c>
      <x:c r="E7" s="215" t="n">
        <x:v>0.23755939098943016</x:v>
      </x:c>
      <x:c r="F7" s="215" t="n">
        <x:v>0.2574894583162017</x:v>
      </x:c>
      <x:c r="G7" s="215" t="n">
        <x:v>0.27736172411468646</x:v>
      </x:c>
      <x:c r="H7" s="273" t="n">
        <x:v>1</x:v>
      </x:c>
    </x:row>
    <x:row r="8" ht="15" hidden="0" customHeight="1">
      <x:c r="A8" s="203" t="str">
        <x:v>Baseline only</x:v>
      </x:c>
      <x:c r="B8" s="221" t="str">
        <x:v>Qwen2.5-7B</x:v>
      </x:c>
      <x:c r="C8" s="221" t="str">
        <x:v>Claude Haiku 4.5</x:v>
      </x:c>
      <x:c r="D8" s="215" t="n">
        <x:v>0.046420059498790134</x:v>
      </x:c>
      <x:c r="E8" s="215" t="n">
        <x:v>0.029677220932765345</x:v>
      </x:c>
      <x:c r="F8" s="215" t="n">
        <x:v>0.04632419978335062</x:v>
      </x:c>
      <x:c r="G8" s="215" t="n">
        <x:v>0.06329600723467216</x:v>
      </x:c>
      <x:c r="H8" s="273" t="n">
        <x:v>1</x:v>
      </x:c>
    </x:row>
    <x:row r="9" ht="15" hidden="0" customHeight="1">
      <x:c r="A9" s="203" t="str">
        <x:v>Baseline only</x:v>
      </x:c>
      <x:c r="B9" s="221" t="str">
        <x:v>Qwen2.5-7B</x:v>
      </x:c>
      <x:c r="C9" s="221" t="str">
        <x:v>Llama 3.1-8B</x:v>
      </x:c>
      <x:c r="D9" s="215" t="n">
        <x:v>0.1723510838145933</x:v>
      </x:c>
      <x:c r="E9" s="215" t="n">
        <x:v>0.15247063420740262</x:v>
      </x:c>
      <x:c r="F9" s="215" t="n">
        <x:v>0.1724379133515866</x:v>
      </x:c>
      <x:c r="G9" s="215" t="n">
        <x:v>0.19156899697867052</x:v>
      </x:c>
      <x:c r="H9" s="273" t="n">
        <x:v>1</x:v>
      </x:c>
    </x:row>
    <x:row r="10" ht="15" hidden="0" customHeight="1">
      <x:c r="A10" s="203" t="str">
        <x:v>Baseline only</x:v>
      </x:c>
      <x:c r="B10" s="221" t="str">
        <x:v>Claude Haiku 4.5</x:v>
      </x:c>
      <x:c r="C10" s="221" t="str">
        <x:v>Llama 3.1-8B</x:v>
      </x:c>
      <x:c r="D10" s="215" t="n">
        <x:v>0.12593102431580316</x:v>
      </x:c>
      <x:c r="E10" s="215" t="n">
        <x:v>0.10416429179275308</x:v>
      </x:c>
      <x:c r="F10" s="215" t="n">
        <x:v>0.1259567042611472</x:v>
      </x:c>
      <x:c r="G10" s="215" t="n">
        <x:v>0.1475301671729473</x:v>
      </x:c>
      <x:c r="H10" s="273" t="n">
        <x:v>1</x:v>
      </x:c>
    </x:row>
    <x:row r="11" ht="15" hidden="0" customHeight="1">
      <x:c r="A11" s="203" t="str">
        <x:v>Arithmetic mean</x:v>
      </x:c>
      <x:c r="B11" s="221" t="str">
        <x:v>GPT-4.1-mini</x:v>
      </x:c>
      <x:c r="C11" s="221" t="str">
        <x:v>Qwen2.5-7B</x:v>
      </x:c>
      <x:c r="D11" s="215" t="n">
        <x:v>0.08150483745924664</x:v>
      </x:c>
      <x:c r="E11" s="215" t="n">
        <x:v>0.07134235098660437</x:v>
      </x:c>
      <x:c r="F11" s="215" t="n">
        <x:v>0.08145910566007708</x:v>
      </x:c>
      <x:c r="G11" s="215" t="n">
        <x:v>0.09209167032894769</x:v>
      </x:c>
      <x:c r="H11" s="273" t="n">
        <x:v>1</x:v>
      </x:c>
    </x:row>
    <x:row r="12" ht="15" hidden="0" customHeight="1">
      <x:c r="A12" s="203" t="str">
        <x:v>Arithmetic mean</x:v>
      </x:c>
      <x:c r="B12" s="221" t="str">
        <x:v>GPT-4.1-mini</x:v>
      </x:c>
      <x:c r="C12" s="221" t="str">
        <x:v>Claude Haiku 4.5</x:v>
      </x:c>
      <x:c r="D12" s="215" t="n">
        <x:v>0.11705416298662064</x:v>
      </x:c>
      <x:c r="E12" s="215" t="n">
        <x:v>0.10578652714308501</x:v>
      </x:c>
      <x:c r="F12" s="215" t="n">
        <x:v>0.11705697006780025</x:v>
      </x:c>
      <x:c r="G12" s="215" t="n">
        <x:v>0.12854542542467626</x:v>
      </x:c>
      <x:c r="H12" s="273" t="n">
        <x:v>1</x:v>
      </x:c>
    </x:row>
    <x:row r="13" ht="15" hidden="0" customHeight="1">
      <x:c r="A13" s="203" t="str">
        <x:v>Arithmetic mean</x:v>
      </x:c>
      <x:c r="B13" s="221" t="str">
        <x:v>GPT-4.1-mini</x:v>
      </x:c>
      <x:c r="C13" s="221" t="str">
        <x:v>Llama 3.1-8B</x:v>
      </x:c>
      <x:c r="D13" s="215" t="n">
        <x:v>0.24268792372247994</x:v>
      </x:c>
      <x:c r="E13" s="215" t="n">
        <x:v>0.2258161374260345</x:v>
      </x:c>
      <x:c r="F13" s="215" t="n">
        <x:v>0.24261525774429815</x:v>
      </x:c>
      <x:c r="G13" s="215" t="n">
        <x:v>0.2594001552958057</x:v>
      </x:c>
      <x:c r="H13" s="273" t="n">
        <x:v>1</x:v>
      </x:c>
    </x:row>
    <x:row r="14" ht="15" hidden="0" customHeight="1">
      <x:c r="A14" s="203" t="str">
        <x:v>Arithmetic mean</x:v>
      </x:c>
      <x:c r="B14" s="221" t="str">
        <x:v>Qwen2.5-7B</x:v>
      </x:c>
      <x:c r="C14" s="221" t="str">
        <x:v>Claude Haiku 4.5</x:v>
      </x:c>
      <x:c r="D14" s="215" t="n">
        <x:v>0.035549325527374</x:v>
      </x:c>
      <x:c r="E14" s="215" t="n">
        <x:v>0.02267565128799742</x:v>
      </x:c>
      <x:c r="F14" s="215" t="n">
        <x:v>0.035374685029707253</x:v>
      </x:c>
      <x:c r="G14" s="215" t="n">
        <x:v>0.04875392563241641</x:v>
      </x:c>
      <x:c r="H14" s="273" t="n">
        <x:v>1</x:v>
      </x:c>
    </x:row>
    <x:row r="15" ht="15" hidden="0" customHeight="1">
      <x:c r="A15" s="203" t="str">
        <x:v>Arithmetic mean</x:v>
      </x:c>
      <x:c r="B15" s="221" t="str">
        <x:v>Qwen2.5-7B</x:v>
      </x:c>
      <x:c r="C15" s="221" t="str">
        <x:v>Llama 3.1-8B</x:v>
      </x:c>
      <x:c r="D15" s="215" t="n">
        <x:v>0.1611830862632333</x:v>
      </x:c>
      <x:c r="E15" s="215" t="n">
        <x:v>0.1444736430044971</x:v>
      </x:c>
      <x:c r="F15" s="215" t="n">
        <x:v>0.16116969075751858</x:v>
      </x:c>
      <x:c r="G15" s="215" t="n">
        <x:v>0.17753922236145553</x:v>
      </x:c>
      <x:c r="H15" s="273" t="n">
        <x:v>1</x:v>
      </x:c>
    </x:row>
    <x:row r="16" ht="15" hidden="0" customHeight="1">
      <x:c r="A16" s="203" t="str">
        <x:v>Arithmetic mean</x:v>
      </x:c>
      <x:c r="B16" s="221" t="str">
        <x:v>Claude Haiku 4.5</x:v>
      </x:c>
      <x:c r="C16" s="221" t="str">
        <x:v>Llama 3.1-8B</x:v>
      </x:c>
      <x:c r="D16" s="215" t="n">
        <x:v>0.1256337607358593</x:v>
      </x:c>
      <x:c r="E16" s="215" t="n">
        <x:v>0.10785635846899262</x:v>
      </x:c>
      <x:c r="F16" s="215" t="n">
        <x:v>0.1254348908555873</x:v>
      </x:c>
      <x:c r="G16" s="215" t="n">
        <x:v>0.14349481650148765</x:v>
      </x:c>
      <x:c r="H16" s="273" t="n">
        <x:v>1</x:v>
      </x:c>
    </x:row>
    <x:row r="17" ht="15" hidden="0" customHeight="1">
      <x:c r="A17" s="203" t="str">
        <x:v>Geometric mean</x:v>
      </x:c>
      <x:c r="B17" s="221" t="str">
        <x:v>GPT-4.1-mini</x:v>
      </x:c>
      <x:c r="C17" s="221" t="str">
        <x:v>Qwen2.5-7B</x:v>
      </x:c>
      <x:c r="D17" s="215" t="n">
        <x:v>0.08154112181536799</x:v>
      </x:c>
      <x:c r="E17" s="215" t="n">
        <x:v>0.07135141589032802</x:v>
      </x:c>
      <x:c r="F17" s="215" t="n">
        <x:v>0.0814945969363649</x:v>
      </x:c>
      <x:c r="G17" s="215" t="n">
        <x:v>0.09214807998970975</x:v>
      </x:c>
      <x:c r="H17" s="273" t="n">
        <x:v>1</x:v>
      </x:c>
    </x:row>
    <x:row r="18" ht="15" hidden="0" customHeight="1">
      <x:c r="A18" s="203" t="str">
        <x:v>Geometric mean</x:v>
      </x:c>
      <x:c r="B18" s="221" t="str">
        <x:v>GPT-4.1-mini</x:v>
      </x:c>
      <x:c r="C18" s="221" t="str">
        <x:v>Claude Haiku 4.5</x:v>
      </x:c>
      <x:c r="D18" s="215" t="n">
        <x:v>0.11729833274930856</x:v>
      </x:c>
      <x:c r="E18" s="215" t="n">
        <x:v>0.10602563959899752</x:v>
      </x:c>
      <x:c r="F18" s="215" t="n">
        <x:v>0.1172849283687929</x:v>
      </x:c>
      <x:c r="G18" s="215" t="n">
        <x:v>0.1287851736738044</x:v>
      </x:c>
      <x:c r="H18" s="273" t="n">
        <x:v>1</x:v>
      </x:c>
    </x:row>
    <x:row r="19" ht="15" hidden="0" customHeight="1">
      <x:c r="A19" s="203" t="str">
        <x:v>Geometric mean</x:v>
      </x:c>
      <x:c r="B19" s="221" t="str">
        <x:v>GPT-4.1-mini</x:v>
      </x:c>
      <x:c r="C19" s="221" t="str">
        <x:v>Llama 3.1-8B</x:v>
      </x:c>
      <x:c r="D19" s="215" t="n">
        <x:v>0.2429907502229286</x:v>
      </x:c>
      <x:c r="E19" s="215" t="n">
        <x:v>0.22611380265766715</x:v>
      </x:c>
      <x:c r="F19" s="215" t="n">
        <x:v>0.24293058590897393</x:v>
      </x:c>
      <x:c r="G19" s="215" t="n">
        <x:v>0.25979522455353343</x:v>
      </x:c>
      <x:c r="H19" s="273" t="n">
        <x:v>1</x:v>
      </x:c>
    </x:row>
    <x:row r="20" ht="15" hidden="0" customHeight="1">
      <x:c r="A20" s="203" t="str">
        <x:v>Geometric mean</x:v>
      </x:c>
      <x:c r="B20" s="221" t="str">
        <x:v>Qwen2.5-7B</x:v>
      </x:c>
      <x:c r="C20" s="221" t="str">
        <x:v>Claude Haiku 4.5</x:v>
      </x:c>
      <x:c r="D20" s="215" t="n">
        <x:v>0.035757210933940575</x:v>
      </x:c>
      <x:c r="E20" s="215" t="n">
        <x:v>0.022783298269272882</x:v>
      </x:c>
      <x:c r="F20" s="215" t="n">
        <x:v>0.03559435027251856</x:v>
      </x:c>
      <x:c r="G20" s="215" t="n">
        <x:v>0.04898779866577871</x:v>
      </x:c>
      <x:c r="H20" s="273" t="n">
        <x:v>1</x:v>
      </x:c>
    </x:row>
    <x:row r="21" ht="15" hidden="0" customHeight="1">
      <x:c r="A21" s="203" t="str">
        <x:v>Geometric mean</x:v>
      </x:c>
      <x:c r="B21" s="221" t="str">
        <x:v>Qwen2.5-7B</x:v>
      </x:c>
      <x:c r="C21" s="221" t="str">
        <x:v>Llama 3.1-8B</x:v>
      </x:c>
      <x:c r="D21" s="215" t="n">
        <x:v>0.1614496284075606</x:v>
      </x:c>
      <x:c r="E21" s="215" t="n">
        <x:v>0.14470188394336472</x:v>
      </x:c>
      <x:c r="F21" s="215" t="n">
        <x:v>0.16146114069878337</x:v>
      </x:c>
      <x:c r="G21" s="215" t="n">
        <x:v>0.17768001970543676</x:v>
      </x:c>
      <x:c r="H21" s="273" t="n">
        <x:v>1</x:v>
      </x:c>
    </x:row>
    <x:row r="22" ht="15" hidden="0" customHeight="1">
      <x:c r="A22" s="203" t="str">
        <x:v>Geometric mean</x:v>
      </x:c>
      <x:c r="B22" s="221" t="str">
        <x:v>Claude Haiku 4.5</x:v>
      </x:c>
      <x:c r="C22" s="221" t="str">
        <x:v>Llama 3.1-8B</x:v>
      </x:c>
      <x:c r="D22" s="215" t="n">
        <x:v>0.12569241747362003</x:v>
      </x:c>
      <x:c r="E22" s="215" t="n">
        <x:v>0.10792537985216819</x:v>
      </x:c>
      <x:c r="F22" s="215" t="n">
        <x:v>0.12552363735908267</x:v>
      </x:c>
      <x:c r="G22" s="215" t="n">
        <x:v>0.14356712266404767</x:v>
      </x:c>
      <x:c r="H22" s="273" t="n">
        <x:v>1</x:v>
      </x:c>
    </x:row>
    <x:row r="23" ht="15" hidden="0" customHeight="1">
      <x:c r="A23" s="203" t="str">
        <x:v>Worst condition</x:v>
      </x:c>
      <x:c r="B23" s="221" t="str">
        <x:v>GPT-4.1-mini</x:v>
      </x:c>
      <x:c r="C23" s="221" t="str">
        <x:v>Qwen2.5-7B</x:v>
      </x:c>
      <x:c r="D23" s="215" t="n">
        <x:v>0.08521221104450016</x:v>
      </x:c>
      <x:c r="E23" s="215" t="n">
        <x:v>0.07303696082277539</x:v>
      </x:c>
      <x:c r="F23" s="215" t="n">
        <x:v>0.08517303189386621</x:v>
      </x:c>
      <x:c r="G23" s="215" t="n">
        <x:v>0.09809523017034483</x:v>
      </x:c>
      <x:c r="H23" s="273" t="n">
        <x:v>1</x:v>
      </x:c>
    </x:row>
    <x:row r="24" ht="15" hidden="0" customHeight="1">
      <x:c r="A24" s="203" t="str">
        <x:v>Worst condition</x:v>
      </x:c>
      <x:c r="B24" s="221" t="str">
        <x:v>GPT-4.1-mini</x:v>
      </x:c>
      <x:c r="C24" s="221" t="str">
        <x:v>Claude Haiku 4.5</x:v>
      </x:c>
      <x:c r="D24" s="215" t="n">
        <x:v>0.1316322705432903</x:v>
      </x:c>
      <x:c r="E24" s="215" t="n">
        <x:v>0.11756190694322916</x:v>
      </x:c>
      <x:c r="F24" s="215" t="n">
        <x:v>0.13157538773747984</x:v>
      </x:c>
      <x:c r="G24" s="215" t="n">
        <x:v>0.14638320695452564</x:v>
      </x:c>
      <x:c r="H24" s="273" t="n">
        <x:v>1</x:v>
      </x:c>
    </x:row>
    <x:row r="25" ht="15" hidden="0" customHeight="1">
      <x:c r="A25" s="203" t="str">
        <x:v>Worst condition</x:v>
      </x:c>
      <x:c r="B25" s="221" t="str">
        <x:v>GPT-4.1-mini</x:v>
      </x:c>
      <x:c r="C25" s="221" t="str">
        <x:v>Llama 3.1-8B</x:v>
      </x:c>
      <x:c r="D25" s="215" t="n">
        <x:v>0.25756329485909346</x:v>
      </x:c>
      <x:c r="E25" s="215" t="n">
        <x:v>0.23755939098943016</x:v>
      </x:c>
      <x:c r="F25" s="215" t="n">
        <x:v>0.2574894583162017</x:v>
      </x:c>
      <x:c r="G25" s="215" t="n">
        <x:v>0.27736172411468646</x:v>
      </x:c>
      <x:c r="H25" s="273" t="n">
        <x:v>1</x:v>
      </x:c>
    </x:row>
    <x:row r="26" ht="15" hidden="0" customHeight="1">
      <x:c r="A26" s="203" t="str">
        <x:v>Worst condition</x:v>
      </x:c>
      <x:c r="B26" s="221" t="str">
        <x:v>Qwen2.5-7B</x:v>
      </x:c>
      <x:c r="C26" s="221" t="str">
        <x:v>Claude Haiku 4.5</x:v>
      </x:c>
      <x:c r="D26" s="215" t="n">
        <x:v>0.046420059498790134</x:v>
      </x:c>
      <x:c r="E26" s="215" t="n">
        <x:v>0.029677220932765345</x:v>
      </x:c>
      <x:c r="F26" s="215" t="n">
        <x:v>0.04632419978335062</x:v>
      </x:c>
      <x:c r="G26" s="215" t="n">
        <x:v>0.06329600723467216</x:v>
      </x:c>
      <x:c r="H26" s="273" t="n">
        <x:v>1</x:v>
      </x:c>
    </x:row>
    <x:row r="27" ht="15" hidden="0" customHeight="1">
      <x:c r="A27" s="203" t="str">
        <x:v>Worst condition</x:v>
      </x:c>
      <x:c r="B27" s="221" t="str">
        <x:v>Qwen2.5-7B</x:v>
      </x:c>
      <x:c r="C27" s="221" t="str">
        <x:v>Llama 3.1-8B</x:v>
      </x:c>
      <x:c r="D27" s="215" t="n">
        <x:v>0.1723510838145933</x:v>
      </x:c>
      <x:c r="E27" s="215" t="n">
        <x:v>0.15247063420740262</x:v>
      </x:c>
      <x:c r="F27" s="215" t="n">
        <x:v>0.17243291547065576</x:v>
      </x:c>
      <x:c r="G27" s="215" t="n">
        <x:v>0.19156899697867052</x:v>
      </x:c>
      <x:c r="H27" s="273" t="n">
        <x:v>1</x:v>
      </x:c>
    </x:row>
    <x:row r="28" ht="15" hidden="0" customHeight="1">
      <x:c r="A28" s="203" t="str">
        <x:v>Worst condition</x:v>
      </x:c>
      <x:c r="B28" s="221" t="str">
        <x:v>Claude Haiku 4.5</x:v>
      </x:c>
      <x:c r="C28" s="221" t="str">
        <x:v>Llama 3.1-8B</x:v>
      </x:c>
      <x:c r="D28" s="215" t="n">
        <x:v>0.12593102431580316</x:v>
      </x:c>
      <x:c r="E28" s="215" t="n">
        <x:v>0.10416429179275308</x:v>
      </x:c>
      <x:c r="F28" s="215" t="n">
        <x:v>0.1259567042611472</x:v>
      </x:c>
      <x:c r="G28" s="215" t="n">
        <x:v>0.1475301671729473</x:v>
      </x:c>
      <x:c r="H28" s="273" t="n">
        <x:v>1</x:v>
      </x:c>
    </x:row>
    <x:row r="29" ht="15" hidden="0" customHeight="1">
      <x:c r="A29" s="203" t="str">
        <x:v>Multiplicative penalty</x:v>
      </x:c>
      <x:c r="B29" s="221" t="str">
        <x:v>GPT-4.1-mini</x:v>
      </x:c>
      <x:c r="C29" s="221" t="str">
        <x:v>Qwen2.5-7B</x:v>
      </x:c>
      <x:c r="D29" s="215" t="n">
        <x:v>0.09020421664808753</x:v>
      </x:c>
      <x:c r="E29" s="215" t="n">
        <x:v>0.06979588313926292</x:v>
      </x:c>
      <x:c r="F29" s="215" t="n">
        <x:v>0.09010414702236125</x:v>
      </x:c>
      <x:c r="G29" s="215" t="n">
        <x:v>0.1103961653766768</x:v>
      </x:c>
      <x:c r="H29" s="273" t="n">
        <x:v>1</x:v>
      </x:c>
    </x:row>
    <x:row r="30" ht="15" hidden="0" customHeight="1">
      <x:c r="A30" s="203" t="str">
        <x:v>Multiplicative penalty</x:v>
      </x:c>
      <x:c r="B30" s="221" t="str">
        <x:v>GPT-4.1-mini</x:v>
      </x:c>
      <x:c r="C30" s="221" t="str">
        <x:v>Claude Haiku 4.5</x:v>
      </x:c>
      <x:c r="D30" s="215" t="n">
        <x:v>0.15205456149831176</x:v>
      </x:c>
      <x:c r="E30" s="215" t="n">
        <x:v>0.13007930736398193</x:v>
      </x:c>
      <x:c r="F30" s="215" t="n">
        <x:v>0.15196250603920475</x:v>
      </x:c>
      <x:c r="G30" s="215" t="n">
        <x:v>0.17351070011906203</x:v>
      </x:c>
      <x:c r="H30" s="273" t="n">
        <x:v>1</x:v>
      </x:c>
    </x:row>
    <x:row r="31" ht="15" hidden="0" customHeight="1">
      <x:c r="A31" s="203" t="str">
        <x:v>Multiplicative penalty</x:v>
      </x:c>
      <x:c r="B31" s="221" t="str">
        <x:v>GPT-4.1-mini</x:v>
      </x:c>
      <x:c r="C31" s="221" t="str">
        <x:v>Llama 3.1-8B</x:v>
      </x:c>
      <x:c r="D31" s="215" t="n">
        <x:v>0.27331434961803014</x:v>
      </x:c>
      <x:c r="E31" s="215" t="n">
        <x:v>0.2456501724060412</x:v>
      </x:c>
      <x:c r="F31" s="215" t="n">
        <x:v>0.27308719882421173</x:v>
      </x:c>
      <x:c r="G31" s="215" t="n">
        <x:v>0.3012650089094201</x:v>
      </x:c>
      <x:c r="H31" s="273" t="n">
        <x:v>1</x:v>
      </x:c>
    </x:row>
    <x:row r="32" ht="15" hidden="0" customHeight="1">
      <x:c r="A32" s="203" t="str">
        <x:v>Multiplicative penalty</x:v>
      </x:c>
      <x:c r="B32" s="221" t="str">
        <x:v>Qwen2.5-7B</x:v>
      </x:c>
      <x:c r="C32" s="221" t="str">
        <x:v>Claude Haiku 4.5</x:v>
      </x:c>
      <x:c r="D32" s="215" t="n">
        <x:v>0.061850344850224226</x:v>
      </x:c>
      <x:c r="E32" s="215" t="n">
        <x:v>0.03584888280342427</x:v>
      </x:c>
      <x:c r="F32" s="215" t="n">
        <x:v>0.06172723310715161</x:v>
      </x:c>
      <x:c r="G32" s="215" t="n">
        <x:v>0.08814574372007523</x:v>
      </x:c>
      <x:c r="H32" s="273" t="n">
        <x:v>1</x:v>
      </x:c>
    </x:row>
    <x:row r="33" ht="15" hidden="0" customHeight="1">
      <x:c r="A33" s="203" t="str">
        <x:v>Multiplicative penalty</x:v>
      </x:c>
      <x:c r="B33" s="221" t="str">
        <x:v>Qwen2.5-7B</x:v>
      </x:c>
      <x:c r="C33" s="221" t="str">
        <x:v>Llama 3.1-8B</x:v>
      </x:c>
      <x:c r="D33" s="215" t="n">
        <x:v>0.1831101329699426</x:v>
      </x:c>
      <x:c r="E33" s="215" t="n">
        <x:v>0.15390029353660792</x:v>
      </x:c>
      <x:c r="F33" s="215" t="n">
        <x:v>0.18297043621942788</x:v>
      </x:c>
      <x:c r="G33" s="215" t="n">
        <x:v>0.21151729229147045</x:v>
      </x:c>
      <x:c r="H33" s="273" t="n">
        <x:v>1</x:v>
      </x:c>
    </x:row>
    <x:row r="34" ht="15" hidden="0" customHeight="1">
      <x:c r="A34" s="203" t="str">
        <x:v>Multiplicative penalty</x:v>
      </x:c>
      <x:c r="B34" s="221" t="str">
        <x:v>Claude Haiku 4.5</x:v>
      </x:c>
      <x:c r="C34" s="221" t="str">
        <x:v>Llama 3.1-8B</x:v>
      </x:c>
      <x:c r="D34" s="215" t="n">
        <x:v>0.12125978811971838</x:v>
      </x:c>
      <x:c r="E34" s="215" t="n">
        <x:v>0.08908573394125191</x:v>
      </x:c>
      <x:c r="F34" s="215" t="n">
        <x:v>0.12122517300333813</x:v>
      </x:c>
      <x:c r="G34" s="215" t="n">
        <x:v>0.15214451426702177</x:v>
      </x:c>
      <x:c r="H34" s="273" t="n">
        <x:v>1</x:v>
      </x:c>
    </x:row>
    <x:row r="35" ht="15" hidden="0" customHeight="1">
      <x:c r="A35" s="203" t="str">
        <x:v>Additive penalty</x:v>
      </x:c>
      <x:c r="B35" s="221" t="str">
        <x:v>GPT-4.1-mini</x:v>
      </x:c>
      <x:c r="C35" s="221" t="str">
        <x:v>Qwen2.5-7B</x:v>
      </x:c>
      <x:c r="D35" s="215" t="n">
        <x:v>0.0926269582150071</x:v>
      </x:c>
      <x:c r="E35" s="215" t="n">
        <x:v>0.0701443573576876</x:v>
      </x:c>
      <x:c r="F35" s="215" t="n">
        <x:v>0.09252398270877127</x:v>
      </x:c>
      <x:c r="G35" s="215" t="n">
        <x:v>0.11489313427098248</x:v>
      </x:c>
      <x:c r="H35" s="273" t="n">
        <x:v>1</x:v>
      </x:c>
    </x:row>
    <x:row r="36" ht="15" hidden="0" customHeight="1">
      <x:c r="A36" s="203" t="str">
        <x:v>Additive penalty</x:v>
      </x:c>
      <x:c r="B36" s="221" t="str">
        <x:v>GPT-4.1-mini</x:v>
      </x:c>
      <x:c r="C36" s="221" t="str">
        <x:v>Claude Haiku 4.5</x:v>
      </x:c>
      <x:c r="D36" s="215" t="n">
        <x:v>0.16078848565662962</x:v>
      </x:c>
      <x:c r="E36" s="215" t="n">
        <x:v>0.13580805699936202</x:v>
      </x:c>
      <x:c r="F36" s="215" t="n">
        <x:v>0.1607189655751644</x:v>
      </x:c>
      <x:c r="G36" s="215" t="n">
        <x:v>0.18523600515556723</x:v>
      </x:c>
      <x:c r="H36" s="273" t="n">
        <x:v>1</x:v>
      </x:c>
    </x:row>
    <x:row r="37" ht="15" hidden="0" customHeight="1">
      <x:c r="A37" s="203" t="str">
        <x:v>Additive penalty</x:v>
      </x:c>
      <x:c r="B37" s="221" t="str">
        <x:v>GPT-4.1-mini</x:v>
      </x:c>
      <x:c r="C37" s="221" t="str">
        <x:v>Llama 3.1-8B</x:v>
      </x:c>
      <x:c r="D37" s="215" t="n">
        <x:v>0.2873140371323205</x:v>
      </x:c>
      <x:c r="E37" s="215" t="n">
        <x:v>0.2534034751358863</x:v>
      </x:c>
      <x:c r="F37" s="215" t="n">
        <x:v>0.2869831628214663</x:v>
      </x:c>
      <x:c r="G37" s="215" t="n">
        <x:v>0.3223141174095695</x:v>
      </x:c>
      <x:c r="H37" s="273" t="n">
        <x:v>1</x:v>
      </x:c>
    </x:row>
    <x:row r="38" ht="15" hidden="0" customHeight="1">
      <x:c r="A38" s="203" t="str">
        <x:v>Additive penalty</x:v>
      </x:c>
      <x:c r="B38" s="221" t="str">
        <x:v>Qwen2.5-7B</x:v>
      </x:c>
      <x:c r="C38" s="221" t="str">
        <x:v>Claude Haiku 4.5</x:v>
      </x:c>
      <x:c r="D38" s="215" t="n">
        <x:v>0.06816152744162252</x:v>
      </x:c>
      <x:c r="E38" s="215" t="n">
        <x:v>0.03821464505985278</x:v>
      </x:c>
      <x:c r="F38" s="215" t="n">
        <x:v>0.0680652001213427</x:v>
      </x:c>
      <x:c r="G38" s="215" t="n">
        <x:v>0.09830949151459986</x:v>
      </x:c>
      <x:c r="H38" s="273" t="n">
        <x:v>1</x:v>
      </x:c>
    </x:row>
    <x:row r="39" ht="15" hidden="0" customHeight="1">
      <x:c r="A39" s="203" t="str">
        <x:v>Additive penalty</x:v>
      </x:c>
      <x:c r="B39" s="221" t="str">
        <x:v>Qwen2.5-7B</x:v>
      </x:c>
      <x:c r="C39" s="221" t="str">
        <x:v>Llama 3.1-8B</x:v>
      </x:c>
      <x:c r="D39" s="215" t="n">
        <x:v>0.1946870789173134</x:v>
      </x:c>
      <x:c r="E39" s="215" t="n">
        <x:v>0.15968657515244966</x:v>
      </x:c>
      <x:c r="F39" s="215" t="n">
        <x:v>0.19450584047294278</x:v>
      </x:c>
      <x:c r="G39" s="215" t="n">
        <x:v>0.22996369038135955</x:v>
      </x:c>
      <x:c r="H39" s="273" t="n">
        <x:v>1</x:v>
      </x:c>
    </x:row>
    <x:row r="40" ht="15" hidden="0" customHeight="1">
      <x:c r="A40" s="208" t="str">
        <x:v>Additive penalty</x:v>
      </x:c>
      <x:c r="B40" s="224" t="str">
        <x:v>Claude Haiku 4.5</x:v>
      </x:c>
      <x:c r="C40" s="224" t="str">
        <x:v>Llama 3.1-8B</x:v>
      </x:c>
      <x:c r="D40" s="216" t="n">
        <x:v>0.1265255514756909</x:v>
      </x:c>
      <x:c r="E40" s="216" t="n">
        <x:v>0.08738420194035895</x:v>
      </x:c>
      <x:c r="F40" s="216" t="n">
        <x:v>0.12638074591667092</x:v>
      </x:c>
      <x:c r="G40" s="216" t="n">
        <x:v>0.16496989935571488</x:v>
      </x:c>
      <x:c r="H40" s="274" t="n">
        <x:v>1</x:v>
      </x:c>
    </x:row>
  </x:sheetData>
  <x:mergeCells>
    <x:mergeCell ref="A1:H1"/>
    <x:mergeCell ref="A2:H2"/>
  </x:mergeCells>
  <x:conditionalFormatting sqref="E5:E40">
    <x:cfRule type="cellIs" dxfId="3" priority="1" operator="greaterThan">
      <x:formula>0</x:formula>
    </x:cfRule>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26" hidden="0" customWidth="1"/>
    <x:col min="3" max="3" width="42" hidden="0" customWidth="1"/>
    <x:col min="4" max="4" width="16" hidden="0" customWidth="1"/>
    <x:col min="5" max="5" width="16" hidden="0" customWidth="1"/>
    <x:col min="6" max="6" width="16" hidden="0" customWidth="1"/>
    <x:col min="7" max="7" width="16" hidden="0" customWidth="1"/>
    <x:col min="8" max="8" width="16" hidden="0" customWidth="1"/>
    <x:col min="9" max="9" width="22" hidden="0" customWidth="1"/>
    <x:col min="10" max="10" width="18" hidden="0" customWidth="1"/>
    <x:col min="11" max="11" width="16" hidden="0" customWidth="1"/>
    <x:col min="12" max="12" width="16" hidden="0" customWidth="1"/>
  </x:cols>
  <x:sheetData>
    <x:row r="1" ht="21.600000381469727" hidden="0" customHeight="1">
      <x:c r="A1" s="192" t="str">
        <x:v>Methods and validation</x:v>
      </x:c>
      <x:c r="B1" s="192" t="str">
        <x:v>Methods and validation</x:v>
      </x:c>
      <x:c r="C1" s="192" t="str">
        <x:v>Methods and validation</x:v>
      </x:c>
      <x:c r="D1" s="192" t="str">
        <x:v>Methods and validation</x:v>
      </x:c>
      <x:c r="E1" s="192" t="str">
        <x:v>Methods and validation</x:v>
      </x:c>
      <x:c r="F1" s="192" t="str">
        <x:v>Methods and validation</x:v>
      </x:c>
      <x:c r="G1" s="192" t="str">
        <x:v>Methods and validation</x:v>
      </x:c>
      <x:c r="H1" s="192" t="str">
        <x:v>Methods and validation</x:v>
      </x:c>
      <x:c r="I1" s="192" t="str">
        <x:v>Methods and validation</x:v>
      </x:c>
      <x:c r="J1" s="192" t="str">
        <x:v>Methods and validation</x:v>
      </x:c>
      <x:c r="K1" s="192" t="str">
        <x:v>Methods and validation</x:v>
      </x:c>
      <x:c r="L1" s="192" t="str">
        <x:v>Methods and validation</x:v>
      </x:c>
    </x:row>
    <x:row r="2" ht="15" hidden="0" customHeight="1">
      <x:c r="A2" s="193" t="str">
        <x:v>Source-data integrity, resampling design, estimator agreement, and reproducibility settings</x:v>
      </x:c>
      <x:c r="B2" s="193" t="str">
        <x:v>Source-data integrity, resampling design, estimator agreement, and reproducibility settings</x:v>
      </x:c>
      <x:c r="C2" s="193" t="str">
        <x:v>Source-data integrity, resampling design, estimator agreement, and reproducibility settings</x:v>
      </x:c>
      <x:c r="D2" s="193" t="str">
        <x:v>Source-data integrity, resampling design, estimator agreement, and reproducibility settings</x:v>
      </x:c>
      <x:c r="E2" s="193" t="str">
        <x:v>Source-data integrity, resampling design, estimator agreement, and reproducibility settings</x:v>
      </x:c>
      <x:c r="F2" s="193" t="str">
        <x:v>Source-data integrity, resampling design, estimator agreement, and reproducibility settings</x:v>
      </x:c>
      <x:c r="G2" s="193" t="str">
        <x:v>Source-data integrity, resampling design, estimator agreement, and reproducibility settings</x:v>
      </x:c>
      <x:c r="H2" s="193" t="str">
        <x:v>Source-data integrity, resampling design, estimator agreement, and reproducibility settings</x:v>
      </x:c>
      <x:c r="I2" s="193" t="str">
        <x:v>Source-data integrity, resampling design, estimator agreement, and reproducibility settings</x:v>
      </x:c>
      <x:c r="J2" s="193" t="str">
        <x:v>Source-data integrity, resampling design, estimator agreement, and reproducibility settings</x:v>
      </x:c>
      <x:c r="K2" s="193" t="str">
        <x:v>Source-data integrity, resampling design, estimator agreement, and reproducibility settings</x:v>
      </x:c>
      <x:c r="L2" s="193" t="str">
        <x:v>Source-data integrity, resampling design, estimator agreement, and reproducibility settings</x:v>
      </x:c>
    </x:row>
    <x:row r="3" ht="15" hidden="0" customHeight="1">
      <x:c r="A3" s="194"/>
      <x:c r="B3" s="194"/>
      <x:c r="C3" s="194"/>
      <x:c r="D3" s="194"/>
      <x:c r="E3" s="194"/>
      <x:c r="F3" s="194"/>
      <x:c r="G3" s="194"/>
      <x:c r="H3" s="194"/>
      <x:c r="I3" s="194"/>
      <x:c r="J3" s="194"/>
      <x:c r="K3" s="194"/>
      <x:c r="L3" s="194"/>
    </x:row>
    <x:row r="4" ht="15" hidden="0" customHeight="1">
      <x:c r="A4" s="197" t="str">
        <x:v>Data integrity</x:v>
      </x:c>
      <x:c r="B4" s="197" t="str">
        <x:v>Data integrity</x:v>
      </x:c>
      <x:c r="C4" s="197" t="str">
        <x:v>Data integrity</x:v>
      </x:c>
      <x:c r="D4" s="197" t="str">
        <x:v>Bootstrap design</x:v>
      </x:c>
      <x:c r="E4" s="197" t="str">
        <x:v>Bootstrap design</x:v>
      </x:c>
      <x:c r="F4" s="197" t="str">
        <x:v>Bootstrap design</x:v>
      </x:c>
      <x:c r="G4" s="197" t="str">
        <x:v>Bootstrap design</x:v>
      </x:c>
      <x:c r="H4" s="197" t="str">
        <x:v>Bootstrap design</x:v>
      </x:c>
      <x:c r="I4" s="194"/>
      <x:c r="J4" s="194"/>
      <x:c r="K4" s="194"/>
      <x:c r="L4" s="194"/>
    </x:row>
    <x:row r="5" ht="15" hidden="0" customHeight="1">
      <x:c r="A5" s="198" t="str">
        <x:v>Primary rows</x:v>
      </x:c>
      <x:c r="B5" s="199" t="n">
        <x:v>61904</x:v>
      </x:c>
      <x:c r="C5" s="194"/>
      <x:c r="D5" s="226" t="str">
        <x:v>5,000 iterations, seed=20260831. Item IDs were sampled with replacement within benchmark; all four-model by two-condition responses for an item moved together. Model: logit(P[favorable]) = model × condition + benchmark + item random intercept. Item scores and the Hessian from a 15-point Gauss-Hermite quadrature-MAP fit were used for a one-step nonparametric bootstrap.</x:v>
      </x:c>
      <x:c r="E5" s="227" t="str">
        <x:v>5,000 iterations, seed=20260831. Item IDs were sampled with replacement within benchmark; all four-model by two-condition responses for an item moved together. Model: logit(P[favorable]) = model × condition + benchmark + item random intercept. Item scores and the Hessian from a 15-point Gauss-Hermite quadrature-MAP fit were used for a one-step nonparametric bootstrap.</x:v>
      </x:c>
      <x:c r="F5" s="227" t="str">
        <x:v>5,000 iterations, seed=20260831. Item IDs were sampled with replacement within benchmark; all four-model by two-condition responses for an item moved together. Model: logit(P[favorable]) = model × condition + benchmark + item random intercept. Item scores and the Hessian from a 15-point Gauss-Hermite quadrature-MAP fit were used for a one-step nonparametric bootstrap.</x:v>
      </x:c>
      <x:c r="G5" s="227" t="str">
        <x:v>5,000 iterations, seed=20260831. Item IDs were sampled with replacement within benchmark; all four-model by two-condition responses for an item moved together. Model: logit(P[favorable]) = model × condition + benchmark + item random intercept. Item scores and the Hessian from a 15-point Gauss-Hermite quadrature-MAP fit were used for a one-step nonparametric bootstrap.</x:v>
      </x:c>
      <x:c r="H5" s="228" t="str">
        <x:v>5,000 iterations, seed=20260831. Item IDs were sampled with replacement within benchmark; all four-model by two-condition responses for an item moved together. Model: logit(P[favorable]) = model × condition + benchmark + item random intercept. Item scores and the Hessian from a 15-point Gauss-Hermite quadrature-MAP fit were used for a one-step nonparametric bootstrap.</x:v>
      </x:c>
      <x:c r="I5" s="194"/>
      <x:c r="J5" s="194"/>
      <x:c r="K5" s="194"/>
      <x:c r="L5" s="194"/>
    </x:row>
    <x:row r="6" ht="15" hidden="0" customHeight="1">
      <x:c r="A6" s="203" t="str">
        <x:v>Unique items</x:v>
      </x:c>
      <x:c r="B6" s="204" t="n">
        <x:v>7738</x:v>
      </x:c>
      <x:c r="C6" s="194"/>
      <x:c r="D6" s="229" t="str">
        <x:v>5,000 iterations, seed=20260831. Item IDs were sampled with replacement within benchmark; all four-model by two-condition responses for an item moved together. Model: logit(P[favorable]) = model × condition + benchmark + item random intercept. Item scores and the Hessian from a 15-point Gauss-Hermite quadrature-MAP fit were used for a one-step nonparametric bootstrap.</x:v>
      </x:c>
      <x:c r="E6" s="230" t="str">
        <x:v>5,000 iterations, seed=20260831. Item IDs were sampled with replacement within benchmark; all four-model by two-condition responses for an item moved together. Model: logit(P[favorable]) = model × condition + benchmark + item random intercept. Item scores and the Hessian from a 15-point Gauss-Hermite quadrature-MAP fit were used for a one-step nonparametric bootstrap.</x:v>
      </x:c>
      <x:c r="F6" s="230" t="str">
        <x:v>5,000 iterations, seed=20260831. Item IDs were sampled with replacement within benchmark; all four-model by two-condition responses for an item moved together. Model: logit(P[favorable]) = model × condition + benchmark + item random intercept. Item scores and the Hessian from a 15-point Gauss-Hermite quadrature-MAP fit were used for a one-step nonparametric bootstrap.</x:v>
      </x:c>
      <x:c r="G6" s="230" t="str">
        <x:v>5,000 iterations, seed=20260831. Item IDs were sampled with replacement within benchmark; all four-model by two-condition responses for an item moved together. Model: logit(P[favorable]) = model × condition + benchmark + item random intercept. Item scores and the Hessian from a 15-point Gauss-Hermite quadrature-MAP fit were used for a one-step nonparametric bootstrap.</x:v>
      </x:c>
      <x:c r="H6" s="231" t="str">
        <x:v>5,000 iterations, seed=20260831. Item IDs were sampled with replacement within benchmark; all four-model by two-condition responses for an item moved together. Model: logit(P[favorable]) = model × condition + benchmark + item random intercept. Item scores and the Hessian from a 15-point Gauss-Hermite quadrature-MAP fit were used for a one-step nonparametric bootstrap.</x:v>
      </x:c>
      <x:c r="I6" s="194"/>
      <x:c r="J6" s="194"/>
      <x:c r="K6" s="194"/>
      <x:c r="L6" s="194"/>
    </x:row>
    <x:row r="7" ht="15" hidden="0" customHeight="1">
      <x:c r="A7" s="203" t="str">
        <x:v>Missing favorable</x:v>
      </x:c>
      <x:c r="B7" s="204" t="n">
        <x:v>0</x:v>
      </x:c>
      <x:c r="C7" s="194"/>
      <x:c r="D7" s="229" t="str">
        <x:v>5,000 iterations, seed=20260831. Item IDs were sampled with replacement within benchmark; all four-model by two-condition responses for an item moved together. Model: logit(P[favorable]) = model × condition + benchmark + item random intercept. Item scores and the Hessian from a 15-point Gauss-Hermite quadrature-MAP fit were used for a one-step nonparametric bootstrap.</x:v>
      </x:c>
      <x:c r="E7" s="230" t="str">
        <x:v>5,000 iterations, seed=20260831. Item IDs were sampled with replacement within benchmark; all four-model by two-condition responses for an item moved together. Model: logit(P[favorable]) = model × condition + benchmark + item random intercept. Item scores and the Hessian from a 15-point Gauss-Hermite quadrature-MAP fit were used for a one-step nonparametric bootstrap.</x:v>
      </x:c>
      <x:c r="F7" s="230" t="str">
        <x:v>5,000 iterations, seed=20260831. Item IDs were sampled with replacement within benchmark; all four-model by two-condition responses for an item moved together. Model: logit(P[favorable]) = model × condition + benchmark + item random intercept. Item scores and the Hessian from a 15-point Gauss-Hermite quadrature-MAP fit were used for a one-step nonparametric bootstrap.</x:v>
      </x:c>
      <x:c r="G7" s="230" t="str">
        <x:v>5,000 iterations, seed=20260831. Item IDs were sampled with replacement within benchmark; all four-model by two-condition responses for an item moved together. Model: logit(P[favorable]) = model × condition + benchmark + item random intercept. Item scores and the Hessian from a 15-point Gauss-Hermite quadrature-MAP fit were used for a one-step nonparametric bootstrap.</x:v>
      </x:c>
      <x:c r="H7" s="231" t="str">
        <x:v>5,000 iterations, seed=20260831. Item IDs were sampled with replacement within benchmark; all four-model by two-condition responses for an item moved together. Model: logit(P[favorable]) = model × condition + benchmark + item random intercept. Item scores and the Hessian from a 15-point Gauss-Hermite quadrature-MAP fit were used for a one-step nonparametric bootstrap.</x:v>
      </x:c>
      <x:c r="I7" s="194"/>
      <x:c r="J7" s="194"/>
      <x:c r="K7" s="194"/>
      <x:c r="L7" s="194"/>
    </x:row>
    <x:row r="8" ht="15" hidden="0" customHeight="1">
      <x:c r="A8" s="203" t="str">
        <x:v>Duplicate item x model x condition</x:v>
      </x:c>
      <x:c r="B8" s="204" t="n">
        <x:v>0</x:v>
      </x:c>
      <x:c r="C8" s="194"/>
      <x:c r="D8" s="229" t="str">
        <x:v>5,000 iterations, seed=20260831. Item IDs were sampled with replacement within benchmark; all four-model by two-condition responses for an item moved together. Model: logit(P[favorable]) = model × condition + benchmark + item random intercept. Item scores and the Hessian from a 15-point Gauss-Hermite quadrature-MAP fit were used for a one-step nonparametric bootstrap.</x:v>
      </x:c>
      <x:c r="E8" s="230" t="str">
        <x:v>5,000 iterations, seed=20260831. Item IDs were sampled with replacement within benchmark; all four-model by two-condition responses for an item moved together. Model: logit(P[favorable]) = model × condition + benchmark + item random intercept. Item scores and the Hessian from a 15-point Gauss-Hermite quadrature-MAP fit were used for a one-step nonparametric bootstrap.</x:v>
      </x:c>
      <x:c r="F8" s="230" t="str">
        <x:v>5,000 iterations, seed=20260831. Item IDs were sampled with replacement within benchmark; all four-model by two-condition responses for an item moved together. Model: logit(P[favorable]) = model × condition + benchmark + item random intercept. Item scores and the Hessian from a 15-point Gauss-Hermite quadrature-MAP fit were used for a one-step nonparametric bootstrap.</x:v>
      </x:c>
      <x:c r="G8" s="230" t="str">
        <x:v>5,000 iterations, seed=20260831. Item IDs were sampled with replacement within benchmark; all four-model by two-condition responses for an item moved together. Model: logit(P[favorable]) = model × condition + benchmark + item random intercept. Item scores and the Hessian from a 15-point Gauss-Hermite quadrature-MAP fit were used for a one-step nonparametric bootstrap.</x:v>
      </x:c>
      <x:c r="H8" s="231" t="str">
        <x:v>5,000 iterations, seed=20260831. Item IDs were sampled with replacement within benchmark; all four-model by two-condition responses for an item moved together. Model: logit(P[favorable]) = model × condition + benchmark + item random intercept. Item scores and the Hessian from a 15-point Gauss-Hermite quadrature-MAP fit were used for a one-step nonparametric bootstrap.</x:v>
      </x:c>
      <x:c r="I8" s="194"/>
      <x:c r="J8" s="194"/>
      <x:c r="K8" s="194"/>
      <x:c r="L8" s="194"/>
    </x:row>
    <x:row r="9" ht="15" hidden="0" customHeight="1">
      <x:c r="A9" s="208" t="str">
        <x:v>Complete eight-row item panels</x:v>
      </x:c>
      <x:c r="B9" s="275" t="b">
        <x:v>1</x:v>
      </x:c>
      <x:c r="C9" s="194"/>
      <x:c r="D9" s="232" t="str">
        <x:v>5,000 iterations, seed=20260831. Item IDs were sampled with replacement within benchmark; all four-model by two-condition responses for an item moved together. Model: logit(P[favorable]) = model × condition + benchmark + item random intercept. Item scores and the Hessian from a 15-point Gauss-Hermite quadrature-MAP fit were used for a one-step nonparametric bootstrap.</x:v>
      </x:c>
      <x:c r="E9" s="233" t="str">
        <x:v>5,000 iterations, seed=20260831. Item IDs were sampled with replacement within benchmark; all four-model by two-condition responses for an item moved together. Model: logit(P[favorable]) = model × condition + benchmark + item random intercept. Item scores and the Hessian from a 15-point Gauss-Hermite quadrature-MAP fit were used for a one-step nonparametric bootstrap.</x:v>
      </x:c>
      <x:c r="F9" s="233" t="str">
        <x:v>5,000 iterations, seed=20260831. Item IDs were sampled with replacement within benchmark; all four-model by two-condition responses for an item moved together. Model: logit(P[favorable]) = model × condition + benchmark + item random intercept. Item scores and the Hessian from a 15-point Gauss-Hermite quadrature-MAP fit were used for a one-step nonparametric bootstrap.</x:v>
      </x:c>
      <x:c r="G9" s="233" t="str">
        <x:v>5,000 iterations, seed=20260831. Item IDs were sampled with replacement within benchmark; all four-model by two-condition responses for an item moved together. Model: logit(P[favorable]) = model × condition + benchmark + item random intercept. Item scores and the Hessian from a 15-point Gauss-Hermite quadrature-MAP fit were used for a one-step nonparametric bootstrap.</x:v>
      </x:c>
      <x:c r="H9" s="234" t="str">
        <x:v>5,000 iterations, seed=20260831. Item IDs were sampled with replacement within benchmark; all four-model by two-condition responses for an item moved together. Model: logit(P[favorable]) = model × condition + benchmark + item random intercept. Item scores and the Hessian from a 15-point Gauss-Hermite quadrature-MAP fit were used for a one-step nonparametric bootstrap.</x:v>
      </x:c>
      <x:c r="I9" s="194"/>
      <x:c r="J9" s="194"/>
      <x:c r="K9" s="194"/>
      <x:c r="L9" s="194"/>
    </x:row>
    <x:row r="10" ht="15" hidden="0" customHeight="1">
      <x:c r="A10" s="194"/>
      <x:c r="B10" s="194"/>
      <x:c r="C10" s="194"/>
      <x:c r="D10" s="194"/>
      <x:c r="E10" s="194"/>
      <x:c r="F10" s="194"/>
      <x:c r="G10" s="194"/>
      <x:c r="H10" s="194"/>
      <x:c r="I10" s="194"/>
      <x:c r="J10" s="194"/>
      <x:c r="K10" s="194"/>
      <x:c r="L10" s="194"/>
    </x:row>
    <x:row r="11" ht="15" hidden="0" customHeight="1">
      <x:c r="A11" s="197" t="str">
        <x:v>Quadrature-MAP versus final VB point estimates</x:v>
      </x:c>
      <x:c r="B11" s="197" t="str">
        <x:v>Quadrature-MAP versus final VB point estimates</x:v>
      </x:c>
      <x:c r="C11" s="197" t="str">
        <x:v>Quadrature-MAP versus final VB point estimates</x:v>
      </x:c>
      <x:c r="D11" s="197" t="str">
        <x:v>Quadrature-MAP versus final VB point estimates</x:v>
      </x:c>
      <x:c r="E11" s="197" t="str">
        <x:v>Quadrature-MAP versus final VB point estimates</x:v>
      </x:c>
      <x:c r="F11" s="197" t="str">
        <x:v>Quadrature-MAP versus final VB point estimates</x:v>
      </x:c>
      <x:c r="G11" s="197" t="str">
        <x:v>Quadrature-MAP versus final VB point estimates</x:v>
      </x:c>
      <x:c r="H11" s="194"/>
      <x:c r="I11" s="195" t="str">
        <x:v>Fit diagnostics</x:v>
      </x:c>
      <x:c r="J11" s="213" t="str">
        <x:v>Fit diagnostics</x:v>
      </x:c>
      <x:c r="K11" s="213" t="str">
        <x:v>Fit diagnostics</x:v>
      </x:c>
      <x:c r="L11" s="196" t="str">
        <x:v>Fit diagnostics</x:v>
      </x:c>
    </x:row>
    <x:row r="12" ht="15" hidden="0" customHeight="1">
      <x:c r="A12" s="195" t="str">
        <x:v>Model</x:v>
      </x:c>
      <x:c r="B12" s="213" t="str">
        <x:v>MAP Baseline</x:v>
      </x:c>
      <x:c r="C12" s="213" t="str">
        <x:v>VB Baseline</x:v>
      </x:c>
      <x:c r="D12" s="213" t="str">
        <x:v>Absolute diff.</x:v>
      </x:c>
      <x:c r="E12" s="213" t="str">
        <x:v>MAP Safety</x:v>
      </x:c>
      <x:c r="F12" s="213" t="str">
        <x:v>VB Safety</x:v>
      </x:c>
      <x:c r="G12" s="196" t="str">
        <x:v>Absolute diff.</x:v>
      </x:c>
      <x:c r="H12" s="194"/>
      <x:c r="I12" s="198" t="str">
        <x:v>Converged</x:v>
      </x:c>
      <x:c r="J12" s="276" t="b">
        <x:v>1</x:v>
      </x:c>
      <x:c r="K12" s="194"/>
      <x:c r="L12" s="194"/>
    </x:row>
    <x:row r="13" ht="15" hidden="0" customHeight="1">
      <x:c r="A13" s="198" t="str">
        <x:v>GPT-4.1-mini</x:v>
      </x:c>
      <x:c r="B13" s="214" t="n">
        <x:v>0.9031268133402237</x:v>
      </x:c>
      <x:c r="C13" s="214" t="n">
        <x:v>0.9045681175206122</x:v>
      </x:c>
      <x:c r="D13" s="214" t="n">
        <x:v>0.0014413041803884585</x:v>
      </x:c>
      <x:c r="E13" s="214" t="n">
        <x:v>0.9149338010273793</x:v>
      </x:c>
      <x:c r="F13" s="214" t="n">
        <x:v>0.9162599640514544</x:v>
      </x:c>
      <x:c r="G13" s="235" t="n">
        <x:v>0.0013261630240750666</x:v>
      </x:c>
      <x:c r="H13" s="194"/>
      <x:c r="I13" s="203" t="str">
        <x:v>Iterations</x:v>
      </x:c>
      <x:c r="J13" s="236" t="n">
        <x:v>33</x:v>
      </x:c>
      <x:c r="K13" s="194"/>
      <x:c r="L13" s="194"/>
    </x:row>
    <x:row r="14" ht="15" hidden="0" customHeight="1">
      <x:c r="A14" s="203" t="str">
        <x:v>Qwen2.5-7B</x:v>
      </x:c>
      <x:c r="B14" s="215" t="n">
        <x:v>0.8171848795257504</x:v>
      </x:c>
      <x:c r="C14" s="215" t="n">
        <x:v>0.819355906476112</x:v>
      </x:c>
      <x:c r="D14" s="215" t="n">
        <x:v>0.002171026950361643</x:v>
      </x:c>
      <x:c r="E14" s="215" t="n">
        <x:v>0.8363647326704049</x:v>
      </x:c>
      <x:c r="F14" s="215" t="n">
        <x:v>0.8384625001774612</x:v>
      </x:c>
      <x:c r="G14" s="236" t="n">
        <x:v>0.0020977675070562585</x:v>
      </x:c>
      <x:c r="H14" s="194"/>
      <x:c r="I14" s="203" t="str">
        <x:v>Item SD</x:v>
      </x:c>
      <x:c r="J14" s="236" t="n">
        <x:v>2.209513836220462</x:v>
      </x:c>
      <x:c r="K14" s="194"/>
      <x:c r="L14" s="194"/>
    </x:row>
    <x:row r="15" ht="15" hidden="0" customHeight="1">
      <x:c r="A15" s="203" t="str">
        <x:v>Claude Haiku 4.5</x:v>
      </x:c>
      <x:c r="B15" s="215" t="n">
        <x:v>0.770624203771162</x:v>
      </x:c>
      <x:c r="C15" s="215" t="n">
        <x:v>0.7729358469773219</x:v>
      </x:c>
      <x:c r="D15" s="215" t="n">
        <x:v>0.0023116432061598413</x:v>
      </x:c>
      <x:c r="E15" s="215" t="n">
        <x:v>0.8116039173033489</x:v>
      </x:c>
      <x:c r="F15" s="215" t="n">
        <x:v>0.8137839086215034</x:v>
      </x:c>
      <x:c r="G15" s="236" t="n">
        <x:v>0.002179991318154495</x:v>
      </x:c>
      <x:c r="H15" s="194"/>
      <x:c r="I15" s="203" t="str">
        <x:v>Max |gradient|</x:v>
      </x:c>
      <x:c r="J15" s="236" t="n">
        <x:v>0.040393666970441715</x:v>
      </x:c>
      <x:c r="K15" s="194"/>
      <x:c r="L15" s="194"/>
    </x:row>
    <x:row r="16" ht="15" hidden="0" customHeight="1">
      <x:c r="A16" s="208" t="str">
        <x:v>Llama 3.1-8B</x:v>
      </x:c>
      <x:c r="B16" s="216" t="n">
        <x:v>0.6451552163948416</x:v>
      </x:c>
      <x:c r="C16" s="216" t="n">
        <x:v>0.6470048226615187</x:v>
      </x:c>
      <x:c r="D16" s="216" t="n">
        <x:v>0.001849606266677073</x:v>
      </x:c>
      <x:c r="E16" s="216" t="n">
        <x:v>0.6863299250361028</x:v>
      </x:c>
      <x:c r="F16" s="216" t="n">
        <x:v>0.688447411465588</x:v>
      </x:c>
      <x:c r="G16" s="237" t="n">
        <x:v>0.0021174864294851714</x:v>
      </x:c>
      <x:c r="H16" s="194"/>
      <x:c r="I16" s="203" t="str">
        <x:v>Hessian min eigenvalue</x:v>
      </x:c>
      <x:c r="J16" s="236" t="n">
        <x:v>22.451577799425724</x:v>
      </x:c>
      <x:c r="K16" s="194"/>
      <x:c r="L16" s="194"/>
    </x:row>
    <x:row r="17" ht="15" hidden="0" customHeight="1">
      <x:c r="A17" s="194"/>
      <x:c r="B17" s="194"/>
      <x:c r="C17" s="194"/>
      <x:c r="D17" s="194"/>
      <x:c r="E17" s="194"/>
      <x:c r="F17" s="194"/>
      <x:c r="G17" s="194"/>
      <x:c r="H17" s="194"/>
      <x:c r="I17" s="203" t="str">
        <x:v>Hessian condition number</x:v>
      </x:c>
      <x:c r="J17" s="236" t="n">
        <x:v>259.74625692485495</x:v>
      </x:c>
      <x:c r="K17" s="194"/>
      <x:c r="L17" s="194"/>
    </x:row>
    <x:row r="18" ht="15" hidden="0" customHeight="1">
      <x:c r="A18" s="194"/>
      <x:c r="B18" s="194"/>
      <x:c r="C18" s="194"/>
      <x:c r="D18" s="194"/>
      <x:c r="E18" s="194"/>
      <x:c r="F18" s="194"/>
      <x:c r="G18" s="194"/>
      <x:c r="H18" s="194"/>
      <x:c r="I18" s="208" t="str">
        <x:v>Max MAP-VB difference</x:v>
      </x:c>
      <x:c r="J18" s="237" t="n">
        <x:v>0.0023116432061598413</x:v>
      </x:c>
      <x:c r="K18" s="194"/>
      <x:c r="L18" s="194"/>
    </x:row>
    <x:row r="19" ht="15" hidden="0" customHeight="1">
      <x:c r="A19" s="194"/>
      <x:c r="B19" s="194"/>
      <x:c r="C19" s="194"/>
      <x:c r="D19" s="194"/>
      <x:c r="E19" s="194"/>
      <x:c r="F19" s="194"/>
      <x:c r="G19" s="194"/>
      <x:c r="H19" s="194"/>
      <x:c r="I19" s="194"/>
      <x:c r="J19" s="194"/>
      <x:c r="K19" s="194"/>
      <x:c r="L19" s="194"/>
    </x:row>
    <x:row r="20" ht="15" hidden="0" customHeight="1">
      <x:c r="A20" s="197" t="str">
        <x:v>Alternative composite-score definitions</x:v>
      </x:c>
      <x:c r="B20" s="197" t="str">
        <x:v>Alternative composite-score definitions</x:v>
      </x:c>
      <x:c r="C20" s="197" t="str">
        <x:v>Alternative composite-score definitions</x:v>
      </x:c>
      <x:c r="D20" s="197" t="str">
        <x:v>Alternative composite-score definitions</x:v>
      </x:c>
      <x:c r="E20" s="197" t="str">
        <x:v>Alternative composite-score definitions</x:v>
      </x:c>
      <x:c r="F20" s="197" t="str">
        <x:v>Alternative composite-score definitions</x:v>
      </x:c>
      <x:c r="G20" s="197" t="str">
        <x:v>Alternative composite-score definitions</x:v>
      </x:c>
      <x:c r="H20" s="197" t="str">
        <x:v>Alternative composite-score definitions</x:v>
      </x:c>
      <x:c r="I20" s="197" t="str">
        <x:v>Alternative composite-score definitions</x:v>
      </x:c>
      <x:c r="J20" s="197" t="str">
        <x:v>Alternative composite-score definitions</x:v>
      </x:c>
      <x:c r="K20" s="197" t="str">
        <x:v>Alternative composite-score definitions</x:v>
      </x:c>
      <x:c r="L20" s="197" t="str">
        <x:v>Alternative composite-score definitions</x:v>
      </x:c>
    </x:row>
    <x:row r="21" ht="15" hidden="0" customHeight="1">
      <x:c r="A21" s="195" t="str">
        <x:v>Definition</x:v>
      </x:c>
      <x:c r="B21" s="213" t="str">
        <x:v>Formula</x:v>
      </x:c>
      <x:c r="C21" s="196" t="str">
        <x:v>Interpretation</x:v>
      </x:c>
      <x:c r="D21" s="194"/>
      <x:c r="E21" s="195" t="str">
        <x:v>Interpretation limits</x:v>
      </x:c>
      <x:c r="F21" s="213" t="str">
        <x:v>Interpretation limits</x:v>
      </x:c>
      <x:c r="G21" s="213" t="str">
        <x:v>Interpretation limits</x:v>
      </x:c>
      <x:c r="H21" s="213" t="str">
        <x:v>Interpretation limits</x:v>
      </x:c>
      <x:c r="I21" s="213" t="str">
        <x:v>Interpretation limits</x:v>
      </x:c>
      <x:c r="J21" s="213" t="str">
        <x:v>Interpretation limits</x:v>
      </x:c>
      <x:c r="K21" s="213" t="str">
        <x:v>Interpretation limits</x:v>
      </x:c>
      <x:c r="L21" s="196" t="str">
        <x:v>Interpretation limits</x:v>
      </x:c>
    </x:row>
    <x:row r="22" ht="15" hidden="0" customHeight="1">
      <x:c r="A22" s="198" t="str">
        <x:v>Baseline only</x:v>
      </x:c>
      <x:c r="B22" s="218" t="str">
        <x:v>R_B</x:v>
      </x:c>
      <x:c r="C22" s="219" t="str">
        <x:v>Performance before the Safety prompt intervention</x:v>
      </x:c>
      <x:c r="D22" s="194"/>
      <x:c r="E22" s="277"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F22" s="278"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G22" s="278"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H22" s="278"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I22" s="278"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J22" s="278"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K22" s="278"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L22" s="279"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row>
    <x:row r="23" ht="15" hidden="0" customHeight="1">
      <x:c r="A23" s="203" t="str">
        <x:v>Arithmetic mean</x:v>
      </x:c>
      <x:c r="B23" s="221" t="str">
        <x:v>(R_B + R_S) / 2</x:v>
      </x:c>
      <x:c r="C23" s="222" t="str">
        <x:v>Equal weighting of both conditions</x:v>
      </x:c>
      <x:c r="D23" s="194"/>
      <x:c r="E23" s="280"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F23" s="281"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G23" s="281"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H23" s="281"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I23" s="281"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J23" s="281"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K23" s="281"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L23" s="282"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row>
    <x:row r="24" ht="15" hidden="0" customHeight="1">
      <x:c r="A24" s="203" t="str">
        <x:v>Geometric mean</x:v>
      </x:c>
      <x:c r="B24" s="221" t="str">
        <x:v>sqrt(R_B * R_S)</x:v>
      </x:c>
      <x:c r="C24" s="222" t="str">
        <x:v>More sensitive to a low condition score</x:v>
      </x:c>
      <x:c r="D24" s="194"/>
      <x:c r="E24" s="280"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F24" s="281"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G24" s="281"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H24" s="281"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I24" s="281"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J24" s="281"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K24" s="281"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L24" s="282"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row>
    <x:row r="25" ht="15" hidden="0" customHeight="1">
      <x:c r="A25" s="203" t="str">
        <x:v>Worst condition</x:v>
      </x:c>
      <x:c r="B25" s="221" t="str">
        <x:v>min(R_B, R_S)</x:v>
      </x:c>
      <x:c r="C25" s="222" t="str">
        <x:v>Conservative minimum across conditions</x:v>
      </x:c>
      <x:c r="D25" s="194"/>
      <x:c r="E25" s="280"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F25" s="281"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G25" s="281"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H25" s="281"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I25" s="281"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J25" s="281"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K25" s="281"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L25" s="282"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row>
    <x:row r="26" ht="15" hidden="0" customHeight="1">
      <x:c r="A26" s="203" t="str">
        <x:v>Multiplicative penalty</x:v>
      </x:c>
      <x:c r="B26" s="221" t="str">
        <x:v>R_B * exp(-|R_S - R_B|)</x:v>
      </x:c>
      <x:c r="C26" s="222" t="str">
        <x:v>Primary SALRM composite definition</x:v>
      </x:c>
      <x:c r="D26" s="194"/>
      <x:c r="E26" s="280"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F26" s="281"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G26" s="281"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H26" s="281"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I26" s="281"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J26" s="281"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K26" s="281"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L26" s="282"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row>
    <x:row r="27" ht="15" hidden="0" customHeight="1">
      <x:c r="A27" s="208" t="str">
        <x:v>Additive penalty</x:v>
      </x:c>
      <x:c r="B27" s="224" t="str">
        <x:v>max(0, R_B - |R_S - R_B|)</x:v>
      </x:c>
      <x:c r="C27" s="225" t="str">
        <x:v>Direct subtraction of condition sensitivity</x:v>
      </x:c>
      <x:c r="D27" s="194"/>
      <x:c r="E27" s="283"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F27" s="284"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G27" s="284"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H27" s="284"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I27" s="284"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J27" s="284"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K27" s="284"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c r="L27" s="285" t="str">
        <x:v>The one-step bootstrap is a computational approximation to 5,000 complete refits. It preserves item pairing and benchmark stratification, but may differ from full refitting in extreme nonlinear samples. The Hessian was positive definite with an acceptable condition number, and the full quadrature-MAP point estimates agreed with final VB values within 0.00232. No rank reversal in 5,000 draws indicates empirical robustness, not logical invariance.</x:v>
      </x:c>
    </x:row>
  </x:sheetData>
  <x:mergeCells>
    <x:mergeCell ref="A1:L1"/>
    <x:mergeCell ref="A2:L2"/>
    <x:mergeCell ref="A4:D4"/>
    <x:mergeCell ref="D4:H4"/>
    <x:mergeCell ref="D5:H9"/>
    <x:mergeCell ref="A11:G11"/>
    <x:mergeCell ref="I11:L11"/>
    <x:mergeCell ref="A20:L20"/>
    <x:mergeCell ref="E21:L21"/>
    <x:mergeCell ref="E22:L27"/>
  </x:mergeCells>
  <x:pageMargins left="0.7" right="0.7" top="0.75" bottom="0.75" header="0.3" footer="0.3"/>
</x:worksheet>
</file>