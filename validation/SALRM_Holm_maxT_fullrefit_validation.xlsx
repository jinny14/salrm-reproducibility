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21d5b501b40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bc4b48358e44f7"/>
    <x:sheet xmlns:r="http://schemas.openxmlformats.org/officeDocument/2006/relationships" name="Multiplicity" sheetId="2" r:id="R70702937c96e4b1b"/>
    <x:sheet xmlns:r="http://schemas.openxmlformats.org/officeDocument/2006/relationships" name="Approximation Agreement" sheetId="3" r:id="R89ddc88aa0b942c1"/>
    <x:sheet xmlns:r="http://schemas.openxmlformats.org/officeDocument/2006/relationships" name="Rank Validation" sheetId="4" r:id="R7878fc39bb23438b"/>
    <x:sheet xmlns:r="http://schemas.openxmlformats.org/officeDocument/2006/relationships" name="Refit Diagnostics" sheetId="5" r:id="Ra7da6d307bd449c6"/>
    <x:sheet xmlns:r="http://schemas.openxmlformats.org/officeDocument/2006/relationships" name="Methods &amp; Thresholds" sheetId="6" r:id="R03af0e8c89e9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0%"/>
    <x:numFmt numFmtId="202" formatCode="0.0000"/>
    <x:numFmt numFmtId="203" formatCode="0.00"/>
  </x:numFmts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667788"/>
      <x:name val="Carlito"/>
    </x:font>
    <x:font>
      <x:b/>
      <x:sz val="11"/>
      <x:color rgb="FFFFFFFF"/>
      <x:name val="Carlito"/>
    </x:font>
    <x:font>
      <x:sz val="10"/>
      <x:color rgb="FF243447"/>
      <x:name val="Carlito"/>
    </x:font>
    <x:font>
      <x:sz val="11"/>
      <x:color rgb="FF243447"/>
      <x:name val="Carlito"/>
    </x:font>
    <x:font>
      <x:b/>
      <x:sz val="18"/>
      <x:color rgb="FFFFFFFF"/>
      <x:name val="Arial"/>
    </x:font>
    <x:font>
      <x:sz val="10"/>
      <x:color rgb="FF667788"/>
      <x:name val="Arial"/>
    </x:font>
    <x:font>
      <x:sz val="11"/>
      <x:name val="Arial"/>
    </x:font>
    <x:font>
      <x:b/>
      <x:sz val="11"/>
      <x:color rgb="FFFFFFFF"/>
      <x:name val="Arial"/>
    </x:font>
    <x:font>
      <x:sz val="10"/>
      <x:color rgb="FF243447"/>
      <x:name val="Arial"/>
    </x:font>
    <x:font>
      <x:sz val="11"/>
      <x:color rgb="FF24344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15">
    <x:border/>
    <x:border>
      <x:left style="thin">
        <x:color rgb="FFC9D3DD"/>
      </x:left>
      <x:top style="thin">
        <x:color rgb="FFC9D3DD"/>
      </x:top>
      <x:bottom style="thin">
        <x:color rgb="FFC9D3DD"/>
      </x:bottom>
    </x:border>
    <x:border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right style="thin">
        <x:color rgb="FFC9D3DD"/>
      </x:right>
      <x:bottom style="thin">
        <x:color rgb="FFC9D3DD"/>
      </x:bottom>
    </x:border>
    <x:border>
      <x:left style="thin">
        <x:color rgb="FFC9D3DD"/>
      </x:left>
      <x:bottom style="thin">
        <x:color rgb="FFC9D3DD"/>
      </x:bottom>
    </x:border>
    <x:border>
      <x:right style="thin">
        <x:color rgb="FFC9D3DD"/>
      </x:right>
      <x:top style="thin">
        <x:color rgb="FFC9D3DD"/>
      </x:top>
    </x:border>
    <x:border>
      <x:left style="thin">
        <x:color rgb="FFC9D3DD"/>
      </x:left>
      <x:top style="thin">
        <x:color rgb="FFC9D3DD"/>
      </x:top>
    </x:border>
    <x:border>
      <x:top style="thin">
        <x:color rgb="FFC9D3DD"/>
      </x:top>
    </x:border>
    <x:border>
      <x:left style="thin">
        <x:color rgb="FFC9D3DD"/>
      </x:left>
    </x:border>
    <x:border>
      <x:right style="thin">
        <x:color rgb="FFC9D3DD"/>
      </x:right>
    </x:border>
    <x:border>
      <x:bottom style="thin">
        <x:color rgb="FFC9D3DD"/>
      </x:bottom>
    </x:border>
    <x:border>
      <x:top style="thin">
        <x:color rgb="FFC9D3DD"/>
      </x:top>
      <x:bottom style="thin">
        <x:color rgb="FFC9D3DD"/>
      </x:bottom>
    </x:border>
    <x:border>
      <x:left style="thin">
        <x:color rgb="FFC9D3DD"/>
      </x:left>
      <x:right style="thin">
        <x:color rgb="FFC9D3DD"/>
      </x:right>
      <x:bottom style="thin">
        <x:color rgb="FFC9D3DD"/>
      </x:bottom>
    </x:border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D3DD"/>
      </x:left>
      <x:right style="thin">
        <x:color rgb="FFC9D3DD"/>
      </x:right>
      <x:top style="thin">
        <x:color rgb="FFC9D3DD"/>
      </x:top>
    </x:border>
  </x:borders>
  <x:cellStyleXfs count="1">
    <x:xf numFmtId="0" fontId="0" fillId="0" borderId="0"/>
  </x:cellStyleXfs>
  <x:cellXfs count="2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201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5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4" xfId="0" applyNumberFormat="1" applyFont="1" applyFill="1" applyBorder="1"/>
    <x:xf numFmtId="0" fontId="5" fillId="6" borderId="10" xfId="0" applyNumberFormat="1" applyFont="1" applyFill="1" applyBorder="1"/>
    <x:xf numFmtId="0" fontId="5" fillId="6" borderId="3" xfId="0" applyNumberFormat="1" applyFont="1" applyFill="1" applyBorder="1"/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/>
    <x:xf numFmtId="0" fontId="3" fillId="2" borderId="11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horizont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202" fontId="4" fillId="0" borderId="12" xfId="0" applyNumberFormat="1" applyFont="1" applyFill="1" applyBorder="1" applyAlignment="1">
      <x:alignment vertical="center"/>
    </x:xf>
    <x:xf numFmtId="202" fontId="4" fillId="0" borderId="13" xfId="0" applyNumberFormat="1" applyFont="1" applyFill="1" applyBorder="1" applyAlignment="1">
      <x:alignment vertical="center"/>
    </x:xf>
    <x:xf numFmtId="202" fontId="4" fillId="0" borderId="14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4" xfId="0" applyNumberFormat="1" applyFont="1" applyFill="1" applyBorder="1"/>
    <x:xf numFmtId="0" fontId="4" fillId="3" borderId="10" xfId="0" applyNumberFormat="1" applyFont="1" applyFill="1" applyBorder="1"/>
    <x:xf numFmtId="0" fontId="4" fillId="3" borderId="3" xfId="0" applyNumberFormat="1" applyFont="1" applyFill="1" applyBorder="1"/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203" fontId="4" fillId="0" borderId="12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13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3" fontId="4" fillId="0" borderId="14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0" fontId="4" fillId="0" borderId="12" xfId="0" applyNumberFormat="1" applyFont="1" applyFill="1" applyBorder="1" applyAlignment="1">
      <x:alignment vertical="center"/>
    </x:xf>
    <x:xf numFmtId="200" fontId="4" fillId="0" borderId="13" xfId="0" applyNumberFormat="1" applyFont="1" applyFill="1" applyBorder="1" applyAlignment="1">
      <x:alignment vertical="center"/>
    </x:xf>
    <x:xf numFmtId="200" fontId="4" fillId="0" borderId="14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12" xfId="0" applyNumberFormat="1" applyFont="1" applyFill="1" applyBorder="1" applyAlignment="1">
      <x:alignment vertical="center"/>
    </x:xf>
    <x:xf numFmtId="201" fontId="4" fillId="0" borderId="13" xfId="0" applyNumberFormat="1" applyFont="1" applyFill="1" applyBorder="1" applyAlignment="1">
      <x:alignment vertical="center"/>
    </x:xf>
    <x:xf numFmtId="201" fontId="4" fillId="0" borderId="14" xfId="0" applyNumberFormat="1" applyFont="1" applyFill="1" applyBorder="1" applyAlignment="1">
      <x:alignment vertical="center"/>
    </x:xf>
    <x:xf numFmtId="201" fontId="4" fillId="4" borderId="12" xfId="0" applyNumberFormat="1" applyFont="1" applyFill="1" applyBorder="1" applyAlignment="1">
      <x:alignment vertical="center"/>
    </x:xf>
    <x:xf numFmtId="201" fontId="4" fillId="4" borderId="13" xfId="0" applyNumberFormat="1" applyFont="1" applyFill="1" applyBorder="1" applyAlignment="1">
      <x:alignment vertical="center"/>
    </x:xf>
    <x:xf numFmtId="201" fontId="4" fillId="4" borderId="14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" fillId="0" borderId="4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0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5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4" xfId="0" applyNumberFormat="1" applyFont="1" applyFill="1" applyBorder="1"/>
    <x:xf numFmtId="0" fontId="4" fillId="6" borderId="10" xfId="0" applyNumberFormat="1" applyFont="1" applyFill="1" applyBorder="1"/>
    <x:xf numFmtId="0" fontId="4" fillId="6" borderId="3" xfId="0" applyNumberFormat="1" applyFont="1" applyFill="1" applyBorder="1"/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2" borderId="1" xfId="0" applyNumberFormat="1" applyFont="1" applyFill="1" applyBorder="1" applyAlignment="1">
      <x:alignment horizontal="center" vertical="center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/>
    </x:xf>
    <x:xf numFmtId="0" fontId="10" fillId="4" borderId="4" xfId="0" applyNumberFormat="1" applyFont="1" applyFill="1" applyBorder="1" applyAlignment="1">
      <x:alignment vertical="center"/>
    </x:xf>
    <x:xf numFmtId="0" fontId="11" fillId="6" borderId="6" xfId="0" applyNumberFormat="1" applyFont="1" applyFill="1" applyBorder="1" applyAlignment="1">
      <x:alignment vertical="center" wrapText="1"/>
    </x:xf>
    <x:xf numFmtId="0" fontId="11" fillId="6" borderId="7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 applyAlignment="1">
      <x:alignment vertical="center"/>
    </x:xf>
    <x:xf numFmtId="0" fontId="11" fillId="6" borderId="8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1" fillId="6" borderId="9" xfId="0" applyNumberFormat="1" applyFont="1" applyFill="1" applyBorder="1" applyAlignment="1">
      <x:alignment vertical="center" wrapText="1"/>
    </x:xf>
    <x:xf numFmtId="200" fontId="10" fillId="4" borderId="1" xfId="0" applyNumberFormat="1" applyFont="1" applyFill="1" applyBorder="1" applyAlignment="1">
      <x:alignment vertical="center"/>
    </x:xf>
    <x:xf numFmtId="201" fontId="10" fillId="4" borderId="1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0" fontId="10" fillId="4" borderId="6" xfId="0" applyNumberFormat="1" applyFont="1" applyFill="1" applyBorder="1" applyAlignment="1">
      <x:alignment vertical="center"/>
    </x:xf>
    <x:xf numFmtId="0" fontId="11" fillId="6" borderId="4" xfId="0" applyNumberFormat="1" applyFont="1" applyFill="1" applyBorder="1" applyAlignment="1">
      <x:alignment vertical="center" wrapText="1"/>
    </x:xf>
    <x:xf numFmtId="0" fontId="11" fillId="6" borderId="10" xfId="0" applyNumberFormat="1" applyFont="1" applyFill="1" applyBorder="1" applyAlignment="1">
      <x:alignment vertical="center" wrapText="1"/>
    </x:xf>
    <x:xf numFmtId="0" fontId="11" fillId="6" borderId="3" xfId="0" applyNumberFormat="1" applyFont="1" applyFill="1" applyBorder="1" applyAlignment="1">
      <x:alignment vertical="center" wrapText="1"/>
    </x:xf>
    <x:xf numFmtId="0" fontId="9" fillId="2" borderId="11" xfId="0" applyNumberFormat="1" applyFont="1" applyFill="1" applyBorder="1" applyAlignment="1">
      <x:alignment horizontal="center" vertical="center" wrapText="1"/>
    </x:xf>
    <x:xf numFmtId="0" fontId="10" fillId="0" borderId="12" xfId="0" applyNumberFormat="1" applyFont="1" applyFill="1" applyBorder="1" applyAlignment="1">
      <x:alignment vertical="center"/>
    </x:xf>
    <x:xf numFmtId="202" fontId="10" fillId="0" borderId="12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vertical="center"/>
    </x:xf>
    <x:xf numFmtId="0" fontId="10" fillId="0" borderId="13" xfId="0" applyNumberFormat="1" applyFont="1" applyFill="1" applyBorder="1" applyAlignment="1">
      <x:alignment vertical="center"/>
    </x:xf>
    <x:xf numFmtId="202" fontId="10" fillId="0" borderId="13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10" fillId="0" borderId="14" xfId="0" applyNumberFormat="1" applyFont="1" applyFill="1" applyBorder="1" applyAlignment="1">
      <x:alignment vertical="center"/>
    </x:xf>
    <x:xf numFmtId="202" fontId="10" fillId="0" borderId="14" xfId="0" applyNumberFormat="1" applyFont="1" applyFill="1" applyBorder="1" applyAlignment="1">
      <x:alignment vertical="center"/>
    </x:xf>
    <x:xf numFmtId="0" fontId="10" fillId="0" borderId="6" xfId="0" applyNumberFormat="1" applyFont="1" applyFill="1" applyBorder="1" applyAlignment="1">
      <x:alignment vertical="center"/>
    </x:xf>
    <x:xf numFmtId="0" fontId="10" fillId="3" borderId="6" xfId="0" applyNumberFormat="1" applyFont="1" applyFill="1" applyBorder="1" applyAlignment="1">
      <x:alignment vertical="center" wrapText="1"/>
    </x:xf>
    <x:xf numFmtId="0" fontId="10" fillId="3" borderId="7" xfId="0" applyNumberFormat="1" applyFont="1" applyFill="1" applyBorder="1" applyAlignment="1">
      <x:alignment vertical="center" wrapText="1"/>
    </x:xf>
    <x:xf numFmtId="0" fontId="10" fillId="3" borderId="5" xfId="0" applyNumberFormat="1" applyFont="1" applyFill="1" applyBorder="1" applyAlignment="1">
      <x:alignment vertical="center" wrapText="1"/>
    </x:xf>
    <x:xf numFmtId="0" fontId="10" fillId="3" borderId="8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9" xfId="0" applyNumberFormat="1" applyFont="1" applyFill="1" applyBorder="1" applyAlignment="1">
      <x:alignment vertical="center" wrapText="1"/>
    </x:xf>
    <x:xf numFmtId="0" fontId="10" fillId="3" borderId="4" xfId="0" applyNumberFormat="1" applyFont="1" applyFill="1" applyBorder="1" applyAlignment="1">
      <x:alignment vertical="center" wrapText="1"/>
    </x:xf>
    <x:xf numFmtId="0" fontId="10" fillId="3" borderId="10" xfId="0" applyNumberFormat="1" applyFont="1" applyFill="1" applyBorder="1" applyAlignment="1">
      <x:alignment vertical="center" wrapText="1"/>
    </x:xf>
    <x:xf numFmtId="0" fontId="10" fillId="3" borderId="3" xfId="0" applyNumberFormat="1" applyFont="1" applyFill="1" applyBorder="1" applyAlignment="1">
      <x:alignment vertical="center" wrapText="1"/>
    </x:xf>
    <x:xf numFmtId="203" fontId="10" fillId="0" borderId="12" xfId="0" applyNumberFormat="1" applyFont="1" applyFill="1" applyBorder="1" applyAlignment="1">
      <x:alignment vertical="center"/>
    </x:xf>
    <x:xf numFmtId="203" fontId="10" fillId="0" borderId="4" xfId="0" applyNumberFormat="1" applyFont="1" applyFill="1" applyBorder="1" applyAlignment="1">
      <x:alignment vertical="center"/>
    </x:xf>
    <x:xf numFmtId="203" fontId="10" fillId="0" borderId="13" xfId="0" applyNumberFormat="1" applyFont="1" applyFill="1" applyBorder="1" applyAlignment="1">
      <x:alignment vertical="center"/>
    </x:xf>
    <x:xf numFmtId="203" fontId="10" fillId="0" borderId="1" xfId="0" applyNumberFormat="1" applyFont="1" applyFill="1" applyBorder="1" applyAlignment="1">
      <x:alignment vertical="center"/>
    </x:xf>
    <x:xf numFmtId="203" fontId="10" fillId="0" borderId="14" xfId="0" applyNumberFormat="1" applyFont="1" applyFill="1" applyBorder="1" applyAlignment="1">
      <x:alignment vertical="center"/>
    </x:xf>
    <x:xf numFmtId="203" fontId="10" fillId="0" borderId="6" xfId="0" applyNumberFormat="1" applyFont="1" applyFill="1" applyBorder="1" applyAlignment="1">
      <x:alignment vertical="center"/>
    </x:xf>
    <x:xf numFmtId="200" fontId="10" fillId="0" borderId="12" xfId="0" applyNumberFormat="1" applyFont="1" applyFill="1" applyBorder="1" applyAlignment="1">
      <x:alignment vertical="center"/>
    </x:xf>
    <x:xf numFmtId="200" fontId="10" fillId="0" borderId="4" xfId="0" applyNumberFormat="1" applyFont="1" applyFill="1" applyBorder="1" applyAlignment="1">
      <x:alignment vertical="center"/>
    </x:xf>
    <x:xf numFmtId="200" fontId="10" fillId="0" borderId="13" xfId="0" applyNumberFormat="1" applyFont="1" applyFill="1" applyBorder="1" applyAlignment="1">
      <x:alignment vertical="center"/>
    </x:xf>
    <x:xf numFmtId="200" fontId="10" fillId="0" borderId="1" xfId="0" applyNumberFormat="1" applyFont="1" applyFill="1" applyBorder="1" applyAlignment="1">
      <x:alignment vertical="center"/>
    </x:xf>
    <x:xf numFmtId="200" fontId="10" fillId="0" borderId="14" xfId="0" applyNumberFormat="1" applyFont="1" applyFill="1" applyBorder="1" applyAlignment="1">
      <x:alignment vertical="center"/>
    </x:xf>
    <x:xf numFmtId="200" fontId="10" fillId="0" borderId="6" xfId="0" applyNumberFormat="1" applyFont="1" applyFill="1" applyBorder="1" applyAlignment="1">
      <x:alignment vertical="center"/>
    </x:xf>
    <x:xf numFmtId="201" fontId="10" fillId="4" borderId="12" xfId="0" applyNumberFormat="1" applyFont="1" applyFill="1" applyBorder="1" applyAlignment="1">
      <x:alignment vertical="center"/>
    </x:xf>
    <x:xf numFmtId="201" fontId="10" fillId="4" borderId="13" xfId="0" applyNumberFormat="1" applyFont="1" applyFill="1" applyBorder="1" applyAlignment="1">
      <x:alignment vertical="center"/>
    </x:xf>
    <x:xf numFmtId="201" fontId="10" fillId="4" borderId="14" xfId="0" applyNumberFormat="1" applyFont="1" applyFill="1" applyBorder="1" applyAlignment="1">
      <x:alignment vertical="center"/>
    </x:xf>
    <x:xf numFmtId="0" fontId="10" fillId="4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0" fillId="0" borderId="4" xfId="0" applyNumberFormat="1" applyFont="1" applyFill="1" applyBorder="1" applyAlignment="1">
      <x:alignment vertical="center"/>
    </x:xf>
    <x:xf numFmtId="0" fontId="10" fillId="4" borderId="1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0" fillId="0" borderId="1" xfId="0" applyNumberFormat="1" applyFont="1" applyFill="1" applyBorder="1" applyAlignment="1">
      <x:alignment vertical="center"/>
    </x:xf>
    <x:xf numFmtId="0" fontId="10" fillId="4" borderId="1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0" fillId="0" borderId="6" xfId="0" applyNumberFormat="1" applyFont="1" applyFill="1" applyBorder="1" applyAlignment="1">
      <x:alignment vertical="center"/>
    </x:xf>
    <x:xf numFmtId="0" fontId="10" fillId="6" borderId="6" xfId="0" applyNumberFormat="1" applyFont="1" applyFill="1" applyBorder="1" applyAlignment="1">
      <x:alignment vertical="center" wrapText="1"/>
    </x:xf>
    <x:xf numFmtId="0" fontId="10" fillId="6" borderId="7" xfId="0" applyNumberFormat="1" applyFont="1" applyFill="1" applyBorder="1" applyAlignment="1">
      <x:alignment vertical="center" wrapText="1"/>
    </x:xf>
    <x:xf numFmtId="0" fontId="10" fillId="6" borderId="5" xfId="0" applyNumberFormat="1" applyFont="1" applyFill="1" applyBorder="1" applyAlignment="1">
      <x:alignment vertical="center" wrapText="1"/>
    </x:xf>
    <x:xf numFmtId="0" fontId="10" fillId="6" borderId="8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9" xfId="0" applyNumberFormat="1" applyFont="1" applyFill="1" applyBorder="1" applyAlignment="1">
      <x:alignment vertical="center" wrapText="1"/>
    </x:xf>
    <x:xf numFmtId="0" fontId="10" fillId="6" borderId="4" xfId="0" applyNumberFormat="1" applyFont="1" applyFill="1" applyBorder="1" applyAlignment="1">
      <x:alignment vertical="center" wrapText="1"/>
    </x:xf>
    <x:xf numFmtId="0" fontId="10" fillId="6" borderId="10" xfId="0" applyNumberFormat="1" applyFont="1" applyFill="1" applyBorder="1" applyAlignment="1">
      <x:alignment vertical="center" wrapText="1"/>
    </x:xf>
    <x:xf numFmtId="0" fontId="10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90353b9ea4864" /><Relationship Type="http://schemas.openxmlformats.org/officeDocument/2006/relationships/theme" Target="/xl/theme/theme1.xml" Id="R0b18310a6e61416b" /><Relationship Type="http://schemas.microsoft.com/office/2022/11/relationships/FeaturePropertyBag" Target="/xl/featurePropertyBag/featurePropertyBag.xml" Id="R34ac5a7ac9d745f7" /><Relationship Type="http://schemas.openxmlformats.org/officeDocument/2006/relationships/sharedStrings" Target="/xl/sharedStrings.xml" Id="Rc789421d95ea4dca" /><Relationship Type="http://schemas.openxmlformats.org/officeDocument/2006/relationships/worksheet" Target="/xl/worksheets/sheet1.xml" Id="R1ebc4b48358e44f7" /><Relationship Type="http://schemas.openxmlformats.org/officeDocument/2006/relationships/worksheet" Target="/xl/worksheets/sheet2.xml" Id="R70702937c96e4b1b" /><Relationship Type="http://schemas.openxmlformats.org/officeDocument/2006/relationships/worksheet" Target="/xl/worksheets/sheet3.xml" Id="R89ddc88aa0b942c1" /><Relationship Type="http://schemas.openxmlformats.org/officeDocument/2006/relationships/worksheet" Target="/xl/worksheets/sheet4.xml" Id="R7878fc39bb23438b" /><Relationship Type="http://schemas.openxmlformats.org/officeDocument/2006/relationships/worksheet" Target="/xl/worksheets/sheet5.xml" Id="Ra7da6d307bd449c6" /><Relationship Type="http://schemas.openxmlformats.org/officeDocument/2006/relationships/worksheet" Target="/xl/worksheets/sheet6.xml" Id="R03af0e8c89e944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4400d72379462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8346631fe1c45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Three contrasts exceed the max-|t| critical value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Observed |t|</c:v>
          </c:tx>
          <c:marker>
            <c:symbol val="none"/>
          </c:marker>
          <c:cat>
            <c:strRef>
              <c:f>'Multiplicity'!$R$5:$R$10</c:f>
              <c:strCache>
                <c:ptCount val="0"/>
              </c:strCache>
            </c:strRef>
          </c:cat>
          <c:val>
            <c:numRef>
              <c:f>'Multiplicity'!$S$5:$S$10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max-t critical</c:v>
          </c:tx>
          <c:marker>
            <c:symbol val="none"/>
          </c:marker>
          <c:cat>
            <c:strRef>
              <c:f>'Multiplicity'!$R$5:$R$10</c:f>
              <c:strCache>
                <c:ptCount val="0"/>
              </c:strCache>
            </c:strRef>
          </c:cat>
          <c:val>
            <c:numRef>
              <c:f>'Multiplicity'!$T$5:$T$10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Approximation MAE is below 0.00052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GPT</c:v>
          </c:tx>
          <c:cat>
            <c:strRef>
              <c:f>'Approximation Agreement'!$Q$5:$Q$8</c:f>
              <c:strCache>
                <c:ptCount val="0"/>
              </c:strCache>
            </c:strRef>
          </c:cat>
          <c:val>
            <c:numRef>
              <c:f>'Approximation Agreement'!$R$5:$R$8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Qwen</c:v>
          </c:tx>
          <c:cat>
            <c:strRef>
              <c:f>'Approximation Agreement'!$Q$5:$Q$8</c:f>
              <c:strCache>
                <c:ptCount val="0"/>
              </c:strCache>
            </c:strRef>
          </c:cat>
          <c:val>
            <c:numRef>
              <c:f>'Approximation Agreement'!$S$5:$S$8</c:f>
              <c:numCache>
                <c:formatCode>0.000000</c:formatCode>
                <c:ptCount val="0"/>
              </c:numCache>
            </c:numRef>
          </c:val>
        </c:ser>
        <c:ser>
          <c:idx val="2"/>
          <c:order val="2"/>
          <c:tx>
            <c:v>Claude</c:v>
          </c:tx>
          <c:cat>
            <c:strRef>
              <c:f>'Approximation Agreement'!$Q$5:$Q$8</c:f>
              <c:strCache>
                <c:ptCount val="0"/>
              </c:strCache>
            </c:strRef>
          </c:cat>
          <c:val>
            <c:numRef>
              <c:f>'Approximation Agreement'!$T$5:$T$8</c:f>
              <c:numCache>
                <c:formatCode>0.000000</c:formatCode>
                <c:ptCount val="0"/>
              </c:numCache>
            </c:numRef>
          </c:val>
        </c:ser>
        <c:ser>
          <c:idx val="3"/>
          <c:order val="3"/>
          <c:tx>
            <c:v>Llama</c:v>
          </c:tx>
          <c:cat>
            <c:strRef>
              <c:f>'Approximation Agreement'!$Q$5:$Q$8</c:f>
              <c:strCache>
                <c:ptCount val="0"/>
              </c:strCache>
            </c:strRef>
          </c:cat>
          <c:val>
            <c:numRef>
              <c:f>'Approximation Agreement'!$U$5:$U$8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000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17</xdr:col>
      <xdr:colOff>0</xdr:colOff>
      <xdr:row>11</xdr:row>
      <xdr:rowOff>0</xdr:rowOff>
    </xdr:from>
    <xdr:to>
      <xdr:col>26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4400d72379462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16</xdr:col>
      <xdr:colOff>0</xdr:colOff>
      <xdr:row>9</xdr:row>
      <xdr:rowOff>0</xdr:rowOff>
    </xdr:from>
    <xdr:to>
      <xdr:col>26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346631fe1c450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b645409224046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8bbcb88d77640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13" hidden="0" customWidth="1"/>
    <x:col min="8" max="8" width="24" hidden="0" customWidth="1"/>
  </x:cols>
  <x:sheetData>
    <x:row r="1" ht="21.600000381469727" hidden="0" customHeight="1">
      <x:c r="A1" s="165" t="str">
        <x:v>SALRM multiplicity correction and full-refit validation</x:v>
      </x:c>
      <x:c r="B1" s="165" t="str">
        <x:v>SALRM multiplicity correction and full-refit validation</x:v>
      </x:c>
      <x:c r="C1" s="165" t="str">
        <x:v>SALRM multiplicity correction and full-refit validation</x:v>
      </x:c>
      <x:c r="D1" s="165" t="str">
        <x:v>SALRM multiplicity correction and full-refit validation</x:v>
      </x:c>
      <x:c r="E1" s="165" t="str">
        <x:v>SALRM multiplicity correction and full-refit validation</x:v>
      </x:c>
      <x:c r="F1" s="165" t="str">
        <x:v>SALRM multiplicity correction and full-refit validation</x:v>
      </x:c>
      <x:c r="G1" s="165" t="str">
        <x:v>SALRM multiplicity correction and full-refit validation</x:v>
      </x:c>
      <x:c r="H1" s="165" t="str">
        <x:v>SALRM multiplicity correction and full-refit validation</x:v>
      </x:c>
    </x:row>
    <x:row r="2" ht="15" hidden="0" customHeight="1">
      <x:c r="A2" s="166" t="str">
        <x:v>Holm and max-|t| family-wise correction for model-by-condition contrasts | 200 paired full GLMM refits validating the 5,000-draw one-step bootstrap</x:v>
      </x:c>
      <x:c r="B2" s="166" t="str">
        <x:v>Holm and max-|t| family-wise correction for model-by-condition contrasts | 200 paired full GLMM refits validating the 5,000-draw one-step bootstrap</x:v>
      </x:c>
      <x:c r="C2" s="166" t="str">
        <x:v>Holm and max-|t| family-wise correction for model-by-condition contrasts | 200 paired full GLMM refits validating the 5,000-draw one-step bootstrap</x:v>
      </x:c>
      <x:c r="D2" s="166" t="str">
        <x:v>Holm and max-|t| family-wise correction for model-by-condition contrasts | 200 paired full GLMM refits validating the 5,000-draw one-step bootstrap</x:v>
      </x:c>
      <x:c r="E2" s="166" t="str">
        <x:v>Holm and max-|t| family-wise correction for model-by-condition contrasts | 200 paired full GLMM refits validating the 5,000-draw one-step bootstrap</x:v>
      </x:c>
      <x:c r="F2" s="166" t="str">
        <x:v>Holm and max-|t| family-wise correction for model-by-condition contrasts | 200 paired full GLMM refits validating the 5,000-draw one-step bootstrap</x:v>
      </x:c>
      <x:c r="G2" s="166" t="str">
        <x:v>Holm and max-|t| family-wise correction for model-by-condition contrasts | 200 paired full GLMM refits validating the 5,000-draw one-step bootstrap</x:v>
      </x:c>
      <x:c r="H2" s="166" t="str">
        <x:v>Holm and max-|t| family-wise correction for model-by-condition contrasts | 200 paired full GLMM refits validating the 5,000-draw one-step bootstrap</x:v>
      </x:c>
    </x:row>
    <x:row r="3" ht="15" hidden="0" customHeight="1">
      <x:c r="A3" s="167"/>
      <x:c r="B3" s="167"/>
      <x:c r="C3" s="167"/>
      <x:c r="D3" s="167"/>
      <x:c r="E3" s="167"/>
      <x:c r="F3" s="167"/>
      <x:c r="G3" s="167"/>
      <x:c r="H3" s="167"/>
    </x:row>
    <x:row r="4" ht="15" hidden="0" customHeight="1">
      <x:c r="A4" s="168" t="str">
        <x:v>Validation indicator</x:v>
      </x:c>
      <x:c r="B4" s="169" t="str">
        <x:v>Result</x:v>
      </x:c>
      <x:c r="C4" s="167"/>
      <x:c r="D4" s="170" t="str">
        <x:v>Main conclusion</x:v>
      </x:c>
      <x:c r="E4" s="170" t="str">
        <x:v>Main conclusion</x:v>
      </x:c>
      <x:c r="F4" s="170" t="str">
        <x:v>Main conclusion</x:v>
      </x:c>
      <x:c r="G4" s="170" t="str">
        <x:v>Main conclusion</x:v>
      </x:c>
      <x:c r="H4" s="170" t="str">
        <x:v>Main conclusion</x:v>
      </x:c>
    </x:row>
    <x:row r="5" ht="15" hidden="0" customHeight="1">
      <x:c r="A5" s="171" t="str">
        <x:v>Holm + max-t robust contrasts</x:v>
      </x:c>
      <x:c r="B5" s="172" t="str">
        <x:v>3/6</x:v>
      </x:c>
      <x:c r="C5" s="167"/>
      <x:c r="D5" s="173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E5" s="174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F5" s="174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G5" s="174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H5" s="175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</x:row>
    <x:row r="6" ht="15" hidden="0" customHeight="1">
      <x:c r="A6" s="176" t="str">
        <x:v>Full refits accepted</x:v>
      </x:c>
      <x:c r="B6" s="177" t="str">
        <x:v>200/200</x:v>
      </x:c>
      <x:c r="C6" s="167"/>
      <x:c r="D6" s="178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E6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F6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G6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H6" s="180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</x:row>
    <x:row r="7" ht="15" hidden="0" customHeight="1">
      <x:c r="A7" s="176" t="str">
        <x:v>Maximum condition-effect MAE</x:v>
      </x:c>
      <x:c r="B7" s="181" t="n">
        <x:v>0.00008339116711360117</x:v>
      </x:c>
      <x:c r="C7" s="167"/>
      <x:c r="D7" s="178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E7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F7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G7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H7" s="180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</x:row>
    <x:row r="8" ht="15" hidden="0" customHeight="1">
      <x:c r="A8" s="176" t="str">
        <x:v>Maximum primary-score MAE</x:v>
      </x:c>
      <x:c r="B8" s="181" t="n">
        <x:v>0.0005117691730778584</x:v>
      </x:c>
      <x:c r="C8" s="167"/>
      <x:c r="D8" s="178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E8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F8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G8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H8" s="180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</x:row>
    <x:row r="9" ht="15" hidden="0" customHeight="1">
      <x:c r="A9" s="176" t="str">
        <x:v>Minimum metric correlation</x:v>
      </x:c>
      <x:c r="B9" s="181" t="n">
        <x:v>0.9980659639585917</x:v>
      </x:c>
      <x:c r="C9" s="167"/>
      <x:c r="D9" s="178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E9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F9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G9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H9" s="180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</x:row>
    <x:row r="10" ht="15" hidden="0" customHeight="1">
      <x:c r="A10" s="176" t="str">
        <x:v>CI-width ratio range</x:v>
      </x:c>
      <x:c r="B10" s="177" t="str">
        <x:v>0.969 to 1.016</x:v>
      </x:c>
      <x:c r="C10" s="167"/>
      <x:c r="D10" s="178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E10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F10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G10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H10" s="180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</x:row>
    <x:row r="11" ht="15" hidden="0" customHeight="1">
      <x:c r="A11" s="176" t="str">
        <x:v>Minimum rank agreement</x:v>
      </x:c>
      <x:c r="B11" s="182" t="n">
        <x:v>1</x:v>
      </x:c>
      <x:c r="C11" s="167"/>
      <x:c r="D11" s="178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E11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F11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G11" s="179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H11" s="180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</x:row>
    <x:row r="12" ht="15" hidden="0" customHeight="1">
      <x:c r="A12" s="183" t="str">
        <x:v>Overall approximation validation</x:v>
      </x:c>
      <x:c r="B12" s="184" t="str">
        <x:v>PASS</x:v>
      </x:c>
      <x:c r="C12" s="167"/>
      <x:c r="D12" s="185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E12" s="186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F12" s="186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G12" s="186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  <x:c r="H12" s="187" t="str">
        <x:v>After family-wise error correction, GPT-Claude, GPT-Llama, and Qwen-Claude retain robust differences in Safety-condition effects. GPT-Qwen, Qwen-Llama, and Claude-Llama are not distinguishable. The one-step bootstrap closely reproduces 200 complete hierarchical-model refits: all fits were accepted, correlations were at least 0.9981, CI widths differed by no more than about 3.1%, and every alternative-score ranking agreed exactly.</x:v>
      </x:c>
    </x:row>
    <x:row r="13" ht="15" hidden="0" customHeight="1">
      <x:c r="A13" s="167"/>
      <x:c r="B13" s="167"/>
      <x:c r="C13" s="167"/>
      <x:c r="D13" s="167"/>
      <x:c r="E13" s="167"/>
      <x:c r="F13" s="167"/>
      <x:c r="G13" s="167"/>
      <x:c r="H13" s="167"/>
    </x:row>
    <x:row r="14" ht="15" hidden="0" customHeight="1">
      <x:c r="A14" s="170" t="str">
        <x:v>Multiplicity-adjusted interaction conclusions</x:v>
      </x:c>
      <x:c r="B14" s="170" t="str">
        <x:v>Multiplicity-adjusted interaction conclusions</x:v>
      </x:c>
      <x:c r="C14" s="170" t="str">
        <x:v>Multiplicity-adjusted interaction conclusions</x:v>
      </x:c>
      <x:c r="D14" s="170" t="str">
        <x:v>Multiplicity-adjusted interaction conclusions</x:v>
      </x:c>
      <x:c r="E14" s="170" t="str">
        <x:v>Multiplicity-adjusted interaction conclusions</x:v>
      </x:c>
      <x:c r="F14" s="170" t="str">
        <x:v>Multiplicity-adjusted interaction conclusions</x:v>
      </x:c>
      <x:c r="G14" s="170" t="str">
        <x:v>Multiplicity-adjusted interaction conclusions</x:v>
      </x:c>
      <x:c r="H14" s="170" t="str">
        <x:v>Multiplicity-adjusted interaction conclusions</x:v>
      </x:c>
    </x:row>
    <x:row r="15" ht="15" hidden="0" customHeight="1">
      <x:c r="A15" s="168" t="str">
        <x:v>Model A</x:v>
      </x:c>
      <x:c r="B15" s="188" t="str">
        <x:v>Model B</x:v>
      </x:c>
      <x:c r="C15" s="188" t="str">
        <x:v>Effect A-B</x:v>
      </x:c>
      <x:c r="D15" s="188" t="str">
        <x:v>Holm p</x:v>
      </x:c>
      <x:c r="E15" s="188" t="str">
        <x:v>max-t 95% CI low</x:v>
      </x:c>
      <x:c r="F15" s="188" t="str">
        <x:v>max-t 95% CI high</x:v>
      </x:c>
      <x:c r="G15" s="188" t="str">
        <x:v>max-t p</x:v>
      </x:c>
      <x:c r="H15" s="169" t="str">
        <x:v>Conclusion</x:v>
      </x:c>
    </x:row>
    <x:row r="16" ht="15" hidden="0" customHeight="1">
      <x:c r="A16" s="171" t="str">
        <x:v>GPT-4.1-mini</x:v>
      </x:c>
      <x:c r="B16" s="189" t="str">
        <x:v>Qwen2.5-7B</x:v>
      </x:c>
      <x:c r="C16" s="190" t="n">
        <x:v>-0.007414747170506941</x:v>
      </x:c>
      <x:c r="D16" s="190" t="n">
        <x:v>0.4943011397720456</x:v>
      </x:c>
      <x:c r="E16" s="190" t="n">
        <x:v>-0.023681896056238716</x:v>
      </x:c>
      <x:c r="F16" s="190" t="n">
        <x:v>0.008852401715224834</x:v>
      </x:c>
      <x:c r="G16" s="190" t="n">
        <x:v>0.635872825434913</x:v>
      </x:c>
      <x:c r="H16" s="191" t="str">
        <x:v>Not distinguishable</x:v>
      </x:c>
    </x:row>
    <x:row r="17" ht="15" hidden="0" customHeight="1">
      <x:c r="A17" s="176" t="str">
        <x:v>GPT-4.1-mini</x:v>
      </x:c>
      <x:c r="B17" s="192" t="str">
        <x:v>Claude Haiku 4.5</x:v>
      </x:c>
      <x:c r="C17" s="193" t="n">
        <x:v>-0.029156215113339323</x:v>
      </x:c>
      <x:c r="D17" s="193" t="n">
        <x:v>0.0023995200959808036</x:v>
      </x:c>
      <x:c r="E17" s="193" t="n">
        <x:v>-0.04623700385296442</x:v>
      </x:c>
      <x:c r="F17" s="193" t="n">
        <x:v>-0.012075426373714223</x:v>
      </x:c>
      <x:c r="G17" s="193" t="n">
        <x:v>0.0001999600079984003</x:v>
      </x:c>
      <x:c r="H17" s="194" t="str">
        <x:v>A &lt; B</x:v>
      </x:c>
    </x:row>
    <x:row r="18" ht="15" hidden="0" customHeight="1">
      <x:c r="A18" s="176" t="str">
        <x:v>GPT-4.1-mini</x:v>
      </x:c>
      <x:c r="B18" s="192" t="str">
        <x:v>Llama 3.1-8B</x:v>
      </x:c>
      <x:c r="C18" s="193" t="n">
        <x:v>-0.02975074227322705</x:v>
      </x:c>
      <x:c r="D18" s="193" t="n">
        <x:v>0.009998000399920015</x:v>
      </x:c>
      <x:c r="E18" s="193" t="n">
        <x:v>-0.0548081352301793</x:v>
      </x:c>
      <x:c r="F18" s="193" t="n">
        <x:v>-0.004693349316274794</x:v>
      </x:c>
      <x:c r="G18" s="193" t="n">
        <x:v>0.013597280543891222</x:v>
      </x:c>
      <x:c r="H18" s="194" t="str">
        <x:v>A &lt; B</x:v>
      </x:c>
    </x:row>
    <x:row r="19" ht="15" hidden="0" customHeight="1">
      <x:c r="A19" s="176" t="str">
        <x:v>Qwen2.5-7B</x:v>
      </x:c>
      <x:c r="B19" s="192" t="str">
        <x:v>Claude Haiku 4.5</x:v>
      </x:c>
      <x:c r="C19" s="193" t="n">
        <x:v>-0.021741467942832382</x:v>
      </x:c>
      <x:c r="D19" s="193" t="n">
        <x:v>0.030393921215756847</x:v>
      </x:c>
      <x:c r="E19" s="193" t="n">
        <x:v>-0.04297300657027417</x:v>
      </x:c>
      <x:c r="F19" s="193" t="n">
        <x:v>-0.0005099293153905914</x:v>
      </x:c>
      <x:c r="G19" s="193" t="n">
        <x:v>0.04279144171165767</x:v>
      </x:c>
      <x:c r="H19" s="194" t="str">
        <x:v>A &lt; B</x:v>
      </x:c>
    </x:row>
    <x:row r="20" ht="15" hidden="0" customHeight="1">
      <x:c r="A20" s="176" t="str">
        <x:v>Qwen2.5-7B</x:v>
      </x:c>
      <x:c r="B20" s="192" t="str">
        <x:v>Llama 3.1-8B</x:v>
      </x:c>
      <x:c r="C20" s="193" t="n">
        <x:v>-0.022335995102720108</x:v>
      </x:c>
      <x:c r="D20" s="193" t="n">
        <x:v>0.09238152369526095</x:v>
      </x:c>
      <x:c r="E20" s="193" t="n">
        <x:v>-0.049135830390690596</x:v>
      </x:c>
      <x:c r="F20" s="193" t="n">
        <x:v>0.004463840185250378</x:v>
      </x:c>
      <x:c r="G20" s="193" t="n">
        <x:v>0.14137172565486902</x:v>
      </x:c>
      <x:c r="H20" s="194" t="str">
        <x:v>Not distinguishable</x:v>
      </x:c>
    </x:row>
    <x:row r="21" ht="15" hidden="0" customHeight="1">
      <x:c r="A21" s="183" t="str">
        <x:v>Claude Haiku 4.5</x:v>
      </x:c>
      <x:c r="B21" s="195" t="str">
        <x:v>Llama 3.1-8B</x:v>
      </x:c>
      <x:c r="C21" s="196" t="n">
        <x:v>-0.0005945271598877255</x:v>
      </x:c>
      <x:c r="D21" s="196" t="n">
        <x:v>0.9514097180563887</x:v>
      </x:c>
      <x:c r="E21" s="196" t="n">
        <x:v>-0.028676054275847025</x:v>
      </x:c>
      <x:c r="F21" s="196" t="n">
        <x:v>0.027486999956071574</x:v>
      </x:c>
      <x:c r="G21" s="196" t="n">
        <x:v>1</x:v>
      </x:c>
      <x:c r="H21" s="197" t="str">
        <x:v>Not distinguishable</x:v>
      </x:c>
    </x:row>
    <x:row r="22" ht="15" hidden="0" customHeight="1">
      <x:c r="A22" s="167"/>
      <x:c r="B22" s="167"/>
      <x:c r="C22" s="167"/>
      <x:c r="D22" s="167"/>
      <x:c r="E22" s="167"/>
      <x:c r="F22" s="167"/>
      <x:c r="G22" s="167"/>
      <x:c r="H22" s="167"/>
    </x:row>
    <x:row r="23" ht="15" hidden="0" customHeight="1">
      <x:c r="A23" s="170" t="str">
        <x:v>Interpretation boundary</x:v>
      </x:c>
      <x:c r="B23" s="170" t="str">
        <x:v>Interpretation boundary</x:v>
      </x:c>
      <x:c r="C23" s="170" t="str">
        <x:v>Interpretation boundary</x:v>
      </x:c>
      <x:c r="D23" s="170" t="str">
        <x:v>Interpretation boundary</x:v>
      </x:c>
      <x:c r="E23" s="170" t="str">
        <x:v>Interpretation boundary</x:v>
      </x:c>
      <x:c r="F23" s="170" t="str">
        <x:v>Interpretation boundary</x:v>
      </x:c>
      <x:c r="G23" s="170" t="str">
        <x:v>Interpretation boundary</x:v>
      </x:c>
      <x:c r="H23" s="170" t="str">
        <x:v>Interpretation boundary</x:v>
      </x:c>
    </x:row>
    <x:row r="24">
      <x:c r="A24" s="198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B24" s="199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C24" s="199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D24" s="199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E24" s="199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F24" s="199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G24" s="199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H24" s="200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</x:row>
    <x:row r="25">
      <x:c r="A25" s="201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B25" s="202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C25" s="202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D25" s="202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E25" s="202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F25" s="202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G25" s="202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H25" s="203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</x:row>
    <x:row r="26">
      <x:c r="A26" s="201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B26" s="202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C26" s="202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D26" s="202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E26" s="202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F26" s="202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G26" s="202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H26" s="203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</x:row>
    <x:row r="27">
      <x:c r="A27" s="204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B27" s="205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C27" s="205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D27" s="205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E27" s="205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F27" s="205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G27" s="205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  <x:c r="H27" s="206" t="str">
        <x:v>Holm adjustment controls the family-wise error rate through ordered p-value correction; max-|t| provides simultaneous confidence intervals using the joint dependence among all six contrasts. The complete-refit exercise validates the one-step approximation on 200 identical benchmark-stratified paired-item resamples. It supports use of the 5,000-draw one-step results for inference, while not proving equivalence for every possible sample.</x:v>
      </x:c>
    </x:row>
  </x:sheetData>
  <x:mergeCells>
    <x:mergeCell ref="A1:H1"/>
    <x:mergeCell ref="A2:H2"/>
    <x:mergeCell ref="D4:H4"/>
    <x:mergeCell ref="D5:H12"/>
    <x:mergeCell ref="A14:H14"/>
    <x:mergeCell ref="A23:H23"/>
    <x:mergeCell ref="A24:H27"/>
  </x:mergeCells>
  <x:conditionalFormatting sqref="H16:H21">
    <x:cfRule type="containsText" dxfId="0" priority="1" operator="containsText" text="Not distinguishable"/>
    <x:cfRule type="notContainsText" dxfId="1" priority="2" text="Not distinguishab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13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4" hidden="0" customWidth="1"/>
    <x:col min="10" max="10" width="12" hidden="0" customWidth="1"/>
    <x:col min="11" max="11" width="13" hidden="0" customWidth="1"/>
    <x:col min="12" max="12" width="13" hidden="0" customWidth="1"/>
    <x:col min="13" max="13" width="12" hidden="0" customWidth="1"/>
    <x:col min="14" max="14" width="11" hidden="0" customWidth="1"/>
    <x:col min="15" max="15" width="11" hidden="0" customWidth="1"/>
    <x:col min="16" max="16" width="22" hidden="0" customWidth="1"/>
    <x:col min="17" max="17" width="2" hidden="0" customWidth="1"/>
    <x:col min="18" max="18" width="2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1.600000381469727" hidden="0" customHeight="1">
      <x:c r="A1" s="165" t="str">
        <x:v>Holm and max-|t| adjusted pairwise interaction contrasts</x:v>
      </x:c>
      <x:c r="B1" s="165" t="str">
        <x:v>Holm and max-|t| adjusted pairwise interaction contrasts</x:v>
      </x:c>
      <x:c r="C1" s="165" t="str">
        <x:v>Holm and max-|t| adjusted pairwise interaction contrasts</x:v>
      </x:c>
      <x:c r="D1" s="165" t="str">
        <x:v>Holm and max-|t| adjusted pairwise interaction contrasts</x:v>
      </x:c>
      <x:c r="E1" s="165" t="str">
        <x:v>Holm and max-|t| adjusted pairwise interaction contrasts</x:v>
      </x:c>
      <x:c r="F1" s="165" t="str">
        <x:v>Holm and max-|t| adjusted pairwise interaction contrasts</x:v>
      </x:c>
      <x:c r="G1" s="165" t="str">
        <x:v>Holm and max-|t| adjusted pairwise interaction contrasts</x:v>
      </x:c>
      <x:c r="H1" s="165" t="str">
        <x:v>Holm and max-|t| adjusted pairwise interaction contrasts</x:v>
      </x:c>
      <x:c r="I1" s="165" t="str">
        <x:v>Holm and max-|t| adjusted pairwise interaction contrasts</x:v>
      </x:c>
      <x:c r="J1" s="165" t="str">
        <x:v>Holm and max-|t| adjusted pairwise interaction contrasts</x:v>
      </x:c>
      <x:c r="K1" s="165" t="str">
        <x:v>Holm and max-|t| adjusted pairwise interaction contrasts</x:v>
      </x:c>
      <x:c r="L1" s="165" t="str">
        <x:v>Holm and max-|t| adjusted pairwise interaction contrasts</x:v>
      </x:c>
      <x:c r="M1" s="165" t="str">
        <x:v>Holm and max-|t| adjusted pairwise interaction contrasts</x:v>
      </x:c>
      <x:c r="N1" s="165" t="str">
        <x:v>Holm and max-|t| adjusted pairwise interaction contrasts</x:v>
      </x:c>
      <x:c r="O1" s="165" t="str">
        <x:v>Holm and max-|t| adjusted pairwise interaction contrasts</x:v>
      </x:c>
      <x:c r="P1" s="165" t="str">
        <x:v>Holm and max-|t| adjusted pairwise interaction contrasts</x:v>
      </x:c>
      <x:c r="Q1" s="167"/>
      <x:c r="R1" s="167"/>
      <x:c r="S1" s="167"/>
      <x:c r="T1" s="167"/>
    </x:row>
    <x:row r="2" ht="15" hidden="0" customHeight="1">
      <x:c r="A2" s="166" t="str">
        <x:v>Contrast = model A Safety effect - model B Safety effect. Columns F, N, O, and P are formula driven for auditability.</x:v>
      </x:c>
      <x:c r="B2" s="166" t="str">
        <x:v>Contrast = model A Safety effect - model B Safety effect. Columns F, N, O, and P are formula driven for auditability.</x:v>
      </x:c>
      <x:c r="C2" s="166" t="str">
        <x:v>Contrast = model A Safety effect - model B Safety effect. Columns F, N, O, and P are formula driven for auditability.</x:v>
      </x:c>
      <x:c r="D2" s="166" t="str">
        <x:v>Contrast = model A Safety effect - model B Safety effect. Columns F, N, O, and P are formula driven for auditability.</x:v>
      </x:c>
      <x:c r="E2" s="166" t="str">
        <x:v>Contrast = model A Safety effect - model B Safety effect. Columns F, N, O, and P are formula driven for auditability.</x:v>
      </x:c>
      <x:c r="F2" s="166" t="str">
        <x:v>Contrast = model A Safety effect - model B Safety effect. Columns F, N, O, and P are formula driven for auditability.</x:v>
      </x:c>
      <x:c r="G2" s="166" t="str">
        <x:v>Contrast = model A Safety effect - model B Safety effect. Columns F, N, O, and P are formula driven for auditability.</x:v>
      </x:c>
      <x:c r="H2" s="166" t="str">
        <x:v>Contrast = model A Safety effect - model B Safety effect. Columns F, N, O, and P are formula driven for auditability.</x:v>
      </x:c>
      <x:c r="I2" s="166" t="str">
        <x:v>Contrast = model A Safety effect - model B Safety effect. Columns F, N, O, and P are formula driven for auditability.</x:v>
      </x:c>
      <x:c r="J2" s="166" t="str">
        <x:v>Contrast = model A Safety effect - model B Safety effect. Columns F, N, O, and P are formula driven for auditability.</x:v>
      </x:c>
      <x:c r="K2" s="166" t="str">
        <x:v>Contrast = model A Safety effect - model B Safety effect. Columns F, N, O, and P are formula driven for auditability.</x:v>
      </x:c>
      <x:c r="L2" s="166" t="str">
        <x:v>Contrast = model A Safety effect - model B Safety effect. Columns F, N, O, and P are formula driven for auditability.</x:v>
      </x:c>
      <x:c r="M2" s="166" t="str">
        <x:v>Contrast = model A Safety effect - model B Safety effect. Columns F, N, O, and P are formula driven for auditability.</x:v>
      </x:c>
      <x:c r="N2" s="166" t="str">
        <x:v>Contrast = model A Safety effect - model B Safety effect. Columns F, N, O, and P are formula driven for auditability.</x:v>
      </x:c>
      <x:c r="O2" s="166" t="str">
        <x:v>Contrast = model A Safety effect - model B Safety effect. Columns F, N, O, and P are formula driven for auditability.</x:v>
      </x:c>
      <x:c r="P2" s="166" t="str">
        <x:v>Contrast = model A Safety effect - model B Safety effect. Columns F, N, O, and P are formula driven for auditability.</x:v>
      </x:c>
      <x:c r="Q2" s="167"/>
      <x:c r="R2" s="167"/>
      <x:c r="S2" s="167"/>
      <x:c r="T2" s="167"/>
    </x:row>
    <x:row r="3" ht="15" hidden="0" customHeight="1">
      <x:c r="A3" s="167"/>
      <x:c r="B3" s="167"/>
      <x:c r="C3" s="167"/>
      <x:c r="D3" s="167"/>
      <x:c r="E3" s="167"/>
      <x:c r="F3" s="167"/>
      <x:c r="G3" s="167"/>
      <x:c r="H3" s="167"/>
      <x:c r="I3" s="167"/>
      <x:c r="J3" s="167"/>
      <x:c r="K3" s="167"/>
      <x:c r="L3" s="167"/>
      <x:c r="M3" s="167"/>
      <x:c r="N3" s="167"/>
      <x:c r="O3" s="167"/>
      <x:c r="P3" s="167"/>
      <x:c r="Q3" s="167"/>
      <x:c r="R3" s="167"/>
      <x:c r="S3" s="167"/>
      <x:c r="T3" s="167"/>
    </x:row>
    <x:row r="4" ht="15" hidden="0" customHeight="1">
      <x:c r="A4" s="168" t="str">
        <x:v>Pair</x:v>
      </x:c>
      <x:c r="B4" s="188" t="str">
        <x:v>Model A</x:v>
      </x:c>
      <x:c r="C4" s="188" t="str">
        <x:v>Model B</x:v>
      </x:c>
      <x:c r="D4" s="188" t="str">
        <x:v>Estimate</x:v>
      </x:c>
      <x:c r="E4" s="188" t="str">
        <x:v>Bootstrap SE</x:v>
      </x:c>
      <x:c r="F4" s="188" t="str">
        <x:v>|t|</x:v>
      </x:c>
      <x:c r="G4" s="188" t="str">
        <x:v>Point CI low</x:v>
      </x:c>
      <x:c r="H4" s="188" t="str">
        <x:v>Point CI high</x:v>
      </x:c>
      <x:c r="I4" s="188" t="str">
        <x:v>Raw bootstrap p</x:v>
      </x:c>
      <x:c r="J4" s="188" t="str">
        <x:v>Holm p</x:v>
      </x:c>
      <x:c r="K4" s="188" t="str">
        <x:v>max-t CI low</x:v>
      </x:c>
      <x:c r="L4" s="188" t="str">
        <x:v>max-t CI high</x:v>
      </x:c>
      <x:c r="M4" s="188" t="str">
        <x:v>max-t p</x:v>
      </x:c>
      <x:c r="N4" s="188" t="str">
        <x:v>Holm sig.</x:v>
      </x:c>
      <x:c r="O4" s="188" t="str">
        <x:v>max-t sig.</x:v>
      </x:c>
      <x:c r="P4" s="169" t="str">
        <x:v>Joint conclusion</x:v>
      </x:c>
      <x:c r="Q4" s="167"/>
      <x:c r="R4" s="168" t="str">
        <x:v>Pair</x:v>
      </x:c>
      <x:c r="S4" s="188" t="str">
        <x:v>Observed |t|</x:v>
      </x:c>
      <x:c r="T4" s="169" t="str">
        <x:v>max-t critical</x:v>
      </x:c>
    </x:row>
    <x:row r="5" ht="15" hidden="0" customHeight="1">
      <x:c r="A5" s="171" t="str">
        <x:v>GPT-4.1-mini vs Qwen2.5-7B</x:v>
      </x:c>
      <x:c r="B5" s="189" t="str">
        <x:v>GPT-4.1-mini</x:v>
      </x:c>
      <x:c r="C5" s="189" t="str">
        <x:v>Qwen2.5-7B</x:v>
      </x:c>
      <x:c r="D5" s="190" t="n">
        <x:v>-0.007414747170506941</x:v>
      </x:c>
      <x:c r="E5" s="190" t="n">
        <x:v>0.0064073847647832015</x:v>
      </x:c>
      <x:c r="F5" s="190" t="n">
        <x:f>ABS(D5/E5)</x:f>
        <x:v>1.1572189657253749</x:v>
      </x:c>
      <x:c r="G5" s="190" t="n">
        <x:v>-0.01995705066481059</x:v>
      </x:c>
      <x:c r="H5" s="190" t="n">
        <x:v>0.0051379186039193945</x:v>
      </x:c>
      <x:c r="I5" s="190" t="n">
        <x:v>0.2471505698860228</x:v>
      </x:c>
      <x:c r="J5" s="190" t="n">
        <x:v>0.4943011397720456</x:v>
      </x:c>
      <x:c r="K5" s="190" t="n">
        <x:v>-0.023681896056238716</x:v>
      </x:c>
      <x:c r="L5" s="190" t="n">
        <x:v>0.008852401715224834</x:v>
      </x:c>
      <x:c r="M5" s="190" t="n">
        <x:v>0.635872825434913</x:v>
      </x:c>
      <x:c r="N5" s="189" t="str">
        <x:f>IF(J5&lt;0.05,"Yes","No")</x:f>
        <x:v>No</x:v>
      </x:c>
      <x:c r="O5" s="189" t="str">
        <x:f>IF(OR(K5&gt;0,L5&lt;0),"Yes","No")</x:f>
        <x:v>No</x:v>
      </x:c>
      <x:c r="P5" s="191" t="str">
        <x:f>IF(AND(N5="Yes",O5="Yes"),IF(D5&gt;0,"A &gt; B","A &lt; B"),"Not distinguishable")</x:f>
        <x:v>Not distinguishable</x:v>
      </x:c>
      <x:c r="Q5" s="167"/>
      <x:c r="R5" s="171" t="str">
        <x:v>GPT–Qwen</x:v>
      </x:c>
      <x:c r="S5" s="207" t="n">
        <x:v>1.1572189657253749</x:v>
      </x:c>
      <x:c r="T5" s="208" t="n">
        <x:v>2.5388125550287888</x:v>
      </x:c>
    </x:row>
    <x:row r="6" ht="15" hidden="0" customHeight="1">
      <x:c r="A6" s="176" t="str">
        <x:v>GPT-4.1-mini vs Claude Haiku 4.5</x:v>
      </x:c>
      <x:c r="B6" s="192" t="str">
        <x:v>GPT-4.1-mini</x:v>
      </x:c>
      <x:c r="C6" s="192" t="str">
        <x:v>Claude Haiku 4.5</x:v>
      </x:c>
      <x:c r="D6" s="193" t="n">
        <x:v>-0.029156215113339323</x:v>
      </x:c>
      <x:c r="E6" s="193" t="n">
        <x:v>0.006727865239909928</x:v>
      </x:c>
      <x:c r="F6" s="193" t="n">
        <x:f>ABS(D6/E6)</x:f>
        <x:v>4.333650284845727</x:v>
      </x:c>
      <x:c r="G6" s="193" t="n">
        <x:v>-0.042344267690331505</x:v>
      </x:c>
      <x:c r="H6" s="193" t="n">
        <x:v>-0.01568402877572844</x:v>
      </x:c>
      <x:c r="I6" s="193" t="n">
        <x:v>0.0003999200159968006</x:v>
      </x:c>
      <x:c r="J6" s="193" t="n">
        <x:v>0.0023995200959808036</x:v>
      </x:c>
      <x:c r="K6" s="193" t="n">
        <x:v>-0.04623700385296442</x:v>
      </x:c>
      <x:c r="L6" s="193" t="n">
        <x:v>-0.012075426373714223</x:v>
      </x:c>
      <x:c r="M6" s="193" t="n">
        <x:v>0.0001999600079984003</x:v>
      </x:c>
      <x:c r="N6" s="192" t="str">
        <x:f>IF(J6&lt;0.05,"Yes","No")</x:f>
        <x:v>Yes</x:v>
      </x:c>
      <x:c r="O6" s="192" t="str">
        <x:f>IF(OR(K6&gt;0,L6&lt;0),"Yes","No")</x:f>
        <x:v>Yes</x:v>
      </x:c>
      <x:c r="P6" s="194" t="str">
        <x:f>IF(AND(N6="Yes",O6="Yes"),IF(D6&gt;0,"A &gt; B","A &lt; B"),"Not distinguishable")</x:f>
        <x:v>A &lt; B</x:v>
      </x:c>
      <x:c r="Q6" s="167"/>
      <x:c r="R6" s="176" t="str">
        <x:v>GPT–Claude</x:v>
      </x:c>
      <x:c r="S6" s="209" t="n">
        <x:v>4.333650284845727</x:v>
      </x:c>
      <x:c r="T6" s="210" t="n">
        <x:v>2.5388125550287888</x:v>
      </x:c>
    </x:row>
    <x:row r="7" ht="15" hidden="0" customHeight="1">
      <x:c r="A7" s="176" t="str">
        <x:v>GPT-4.1-mini vs Llama 3.1-8B</x:v>
      </x:c>
      <x:c r="B7" s="192" t="str">
        <x:v>GPT-4.1-mini</x:v>
      </x:c>
      <x:c r="C7" s="192" t="str">
        <x:v>Llama 3.1-8B</x:v>
      </x:c>
      <x:c r="D7" s="193" t="n">
        <x:v>-0.02975074227322705</x:v>
      </x:c>
      <x:c r="E7" s="193" t="n">
        <x:v>0.009869729416344453</x:v>
      </x:c>
      <x:c r="F7" s="193" t="n">
        <x:f>ABS(D7/E7)</x:f>
        <x:v>3.014342239611886</x:v>
      </x:c>
      <x:c r="G7" s="193" t="n">
        <x:v>-0.04970696617729593</x:v>
      </x:c>
      <x:c r="H7" s="193" t="n">
        <x:v>-0.010652963147526071</x:v>
      </x:c>
      <x:c r="I7" s="193" t="n">
        <x:v>0.001999600079984003</x:v>
      </x:c>
      <x:c r="J7" s="193" t="n">
        <x:v>0.009998000399920015</x:v>
      </x:c>
      <x:c r="K7" s="193" t="n">
        <x:v>-0.0548081352301793</x:v>
      </x:c>
      <x:c r="L7" s="193" t="n">
        <x:v>-0.004693349316274794</x:v>
      </x:c>
      <x:c r="M7" s="193" t="n">
        <x:v>0.013597280543891222</x:v>
      </x:c>
      <x:c r="N7" s="192" t="str">
        <x:f>IF(J7&lt;0.05,"Yes","No")</x:f>
        <x:v>Yes</x:v>
      </x:c>
      <x:c r="O7" s="192" t="str">
        <x:f>IF(OR(K7&gt;0,L7&lt;0),"Yes","No")</x:f>
        <x:v>Yes</x:v>
      </x:c>
      <x:c r="P7" s="194" t="str">
        <x:f>IF(AND(N7="Yes",O7="Yes"),IF(D7&gt;0,"A &gt; B","A &lt; B"),"Not distinguishable")</x:f>
        <x:v>A &lt; B</x:v>
      </x:c>
      <x:c r="Q7" s="167"/>
      <x:c r="R7" s="176" t="str">
        <x:v>GPT–Llama</x:v>
      </x:c>
      <x:c r="S7" s="209" t="n">
        <x:v>3.014342239611886</x:v>
      </x:c>
      <x:c r="T7" s="210" t="n">
        <x:v>2.5388125550287888</x:v>
      </x:c>
    </x:row>
    <x:row r="8" ht="15" hidden="0" customHeight="1">
      <x:c r="A8" s="176" t="str">
        <x:v>Qwen2.5-7B vs Claude Haiku 4.5</x:v>
      </x:c>
      <x:c r="B8" s="192" t="str">
        <x:v>Qwen2.5-7B</x:v>
      </x:c>
      <x:c r="C8" s="192" t="str">
        <x:v>Claude Haiku 4.5</x:v>
      </x:c>
      <x:c r="D8" s="193" t="n">
        <x:v>-0.021741467942832382</x:v>
      </x:c>
      <x:c r="E8" s="193" t="n">
        <x:v>0.008362783059894328</x:v>
      </x:c>
      <x:c r="F8" s="193" t="n">
        <x:f>ABS(D8/E8)</x:f>
        <x:v>2.599788585584463</x:v>
      </x:c>
      <x:c r="G8" s="193" t="n">
        <x:v>-0.0382065723426113</x:v>
      </x:c>
      <x:c r="H8" s="193" t="n">
        <x:v>-0.005555633974233948</x:v>
      </x:c>
      <x:c r="I8" s="193" t="n">
        <x:v>0.007598480303939212</x:v>
      </x:c>
      <x:c r="J8" s="193" t="n">
        <x:v>0.030393921215756847</x:v>
      </x:c>
      <x:c r="K8" s="193" t="n">
        <x:v>-0.04297300657027417</x:v>
      </x:c>
      <x:c r="L8" s="193" t="n">
        <x:v>-0.0005099293153905914</x:v>
      </x:c>
      <x:c r="M8" s="193" t="n">
        <x:v>0.04279144171165767</x:v>
      </x:c>
      <x:c r="N8" s="192" t="str">
        <x:f>IF(J8&lt;0.05,"Yes","No")</x:f>
        <x:v>Yes</x:v>
      </x:c>
      <x:c r="O8" s="192" t="str">
        <x:f>IF(OR(K8&gt;0,L8&lt;0),"Yes","No")</x:f>
        <x:v>Yes</x:v>
      </x:c>
      <x:c r="P8" s="194" t="str">
        <x:f>IF(AND(N8="Yes",O8="Yes"),IF(D8&gt;0,"A &gt; B","A &lt; B"),"Not distinguishable")</x:f>
        <x:v>A &lt; B</x:v>
      </x:c>
      <x:c r="Q8" s="167"/>
      <x:c r="R8" s="176" t="str">
        <x:v>Qwen2.5-7B–Claude</x:v>
      </x:c>
      <x:c r="S8" s="209" t="n">
        <x:v>2.599788585584463</x:v>
      </x:c>
      <x:c r="T8" s="210" t="n">
        <x:v>2.5388125550287888</x:v>
      </x:c>
    </x:row>
    <x:row r="9" ht="15" hidden="0" customHeight="1">
      <x:c r="A9" s="176" t="str">
        <x:v>Qwen2.5-7B vs Llama 3.1-8B</x:v>
      </x:c>
      <x:c r="B9" s="192" t="str">
        <x:v>Qwen2.5-7B</x:v>
      </x:c>
      <x:c r="C9" s="192" t="str">
        <x:v>Llama 3.1-8B</x:v>
      </x:c>
      <x:c r="D9" s="193" t="n">
        <x:v>-0.022335995102720108</x:v>
      </x:c>
      <x:c r="E9" s="193" t="n">
        <x:v>0.010556051188137672</x:v>
      </x:c>
      <x:c r="F9" s="193" t="n">
        <x:f>ABS(D9/E9)</x:f>
        <x:v>2.1159422879476093</x:v>
      </x:c>
      <x:c r="G9" s="193" t="n">
        <x:v>-0.04313490337887329</x:v>
      </x:c>
      <x:c r="H9" s="193" t="n">
        <x:v>-0.001900866632344095</x:v>
      </x:c>
      <x:c r="I9" s="193" t="n">
        <x:v>0.03079384123175365</x:v>
      </x:c>
      <x:c r="J9" s="193" t="n">
        <x:v>0.09238152369526095</x:v>
      </x:c>
      <x:c r="K9" s="193" t="n">
        <x:v>-0.049135830390690596</x:v>
      </x:c>
      <x:c r="L9" s="193" t="n">
        <x:v>0.004463840185250378</x:v>
      </x:c>
      <x:c r="M9" s="193" t="n">
        <x:v>0.14137172565486902</x:v>
      </x:c>
      <x:c r="N9" s="192" t="str">
        <x:f>IF(J9&lt;0.05,"Yes","No")</x:f>
        <x:v>No</x:v>
      </x:c>
      <x:c r="O9" s="192" t="str">
        <x:f>IF(OR(K9&gt;0,L9&lt;0),"Yes","No")</x:f>
        <x:v>No</x:v>
      </x:c>
      <x:c r="P9" s="194" t="str">
        <x:f>IF(AND(N9="Yes",O9="Yes"),IF(D9&gt;0,"A &gt; B","A &lt; B"),"Not distinguishable")</x:f>
        <x:v>Not distinguishable</x:v>
      </x:c>
      <x:c r="Q9" s="167"/>
      <x:c r="R9" s="176" t="str">
        <x:v>Qwen2.5-7B–Llama</x:v>
      </x:c>
      <x:c r="S9" s="209" t="n">
        <x:v>2.1159422879476093</x:v>
      </x:c>
      <x:c r="T9" s="210" t="n">
        <x:v>2.5388125550287888</x:v>
      </x:c>
    </x:row>
    <x:row r="10" ht="15" hidden="0" customHeight="1">
      <x:c r="A10" s="183" t="str">
        <x:v>Claude Haiku 4.5 vs Llama 3.1-8B</x:v>
      </x:c>
      <x:c r="B10" s="195" t="str">
        <x:v>Claude Haiku 4.5</x:v>
      </x:c>
      <x:c r="C10" s="195" t="str">
        <x:v>Llama 3.1-8B</x:v>
      </x:c>
      <x:c r="D10" s="196" t="n">
        <x:v>-0.0005945271598877255</x:v>
      </x:c>
      <x:c r="E10" s="196" t="n">
        <x:v>0.011060890281299586</x:v>
      </x:c>
      <x:c r="F10" s="196" t="n">
        <x:f>ABS(D10/E10)</x:f>
        <x:v>0.05375038941421199</x:v>
      </x:c>
      <x:c r="G10" s="196" t="n">
        <x:v>-0.0224494896644264</x:v>
      </x:c>
      <x:c r="H10" s="196" t="n">
        <x:v>0.021039384853855935</x:v>
      </x:c>
      <x:c r="I10" s="196" t="n">
        <x:v>0.9514097180563887</x:v>
      </x:c>
      <x:c r="J10" s="196" t="n">
        <x:v>0.9514097180563887</x:v>
      </x:c>
      <x:c r="K10" s="196" t="n">
        <x:v>-0.028676054275847025</x:v>
      </x:c>
      <x:c r="L10" s="196" t="n">
        <x:v>0.027486999956071574</x:v>
      </x:c>
      <x:c r="M10" s="196" t="n">
        <x:v>1</x:v>
      </x:c>
      <x:c r="N10" s="195" t="str">
        <x:f>IF(J10&lt;0.05,"Yes","No")</x:f>
        <x:v>No</x:v>
      </x:c>
      <x:c r="O10" s="195" t="str">
        <x:f>IF(OR(K10&gt;0,L10&lt;0),"Yes","No")</x:f>
        <x:v>No</x:v>
      </x:c>
      <x:c r="P10" s="197" t="str">
        <x:f>IF(AND(N10="Yes",O10="Yes"),IF(D10&gt;0,"A &gt; B","A &lt; B"),"Not distinguishable")</x:f>
        <x:v>Not distinguishable</x:v>
      </x:c>
      <x:c r="Q10" s="167"/>
      <x:c r="R10" s="183" t="str">
        <x:v>Claude Haiku 4.5–Llama</x:v>
      </x:c>
      <x:c r="S10" s="211" t="n">
        <x:v>0.05375038941421199</x:v>
      </x:c>
      <x:c r="T10" s="212" t="n">
        <x:v>2.5388125550287888</x:v>
      </x:c>
    </x:row>
    <x:row r="11" ht="15" hidden="0" customHeight="1">
      <x:c r="A11" s="167"/>
      <x:c r="B11" s="167"/>
      <x:c r="C11" s="167"/>
      <x:c r="D11" s="167"/>
      <x:c r="E11" s="167"/>
      <x:c r="F11" s="167"/>
      <x:c r="G11" s="167"/>
      <x:c r="H11" s="167"/>
      <x:c r="I11" s="167"/>
      <x:c r="J11" s="167"/>
      <x:c r="K11" s="167"/>
      <x:c r="L11" s="167"/>
      <x:c r="M11" s="167"/>
      <x:c r="N11" s="167"/>
      <x:c r="O11" s="167"/>
      <x:c r="P11" s="167"/>
      <x:c r="Q11" s="167"/>
      <x:c r="R11" s="167"/>
      <x:c r="S11" s="167"/>
      <x:c r="T11" s="167"/>
    </x:row>
    <x:row r="12" ht="15" hidden="0" customHeight="1">
      <x:c r="A12" s="170" t="str">
        <x:v>max-|t| decision chart</x:v>
      </x:c>
      <x:c r="B12" s="170" t="str">
        <x:v>max-|t| decision chart</x:v>
      </x:c>
      <x:c r="C12" s="170" t="str">
        <x:v>max-|t| decision chart</x:v>
      </x:c>
      <x:c r="D12" s="170" t="str">
        <x:v>max-|t| decision chart</x:v>
      </x:c>
      <x:c r="E12" s="170" t="str">
        <x:v>max-|t| decision chart</x:v>
      </x:c>
      <x:c r="F12" s="170" t="str">
        <x:v>max-|t| decision chart</x:v>
      </x:c>
      <x:c r="G12" s="170" t="str">
        <x:v>max-|t| decision chart</x:v>
      </x:c>
      <x:c r="H12" s="170" t="str">
        <x:v>max-|t| decision chart</x:v>
      </x:c>
      <x:c r="I12" s="170" t="str">
        <x:v>max-|t| decision chart</x:v>
      </x:c>
      <x:c r="J12" s="170" t="str">
        <x:v>max-|t| decision chart</x:v>
      </x:c>
      <x:c r="K12" s="170" t="str">
        <x:v>max-|t| decision chart</x:v>
      </x:c>
      <x:c r="L12" s="170" t="str">
        <x:v>max-|t| decision chart</x:v>
      </x:c>
      <x:c r="M12" s="170" t="str">
        <x:v>max-|t| decision chart</x:v>
      </x:c>
      <x:c r="N12" s="170" t="str">
        <x:v>max-|t| decision chart</x:v>
      </x:c>
      <x:c r="O12" s="170" t="str">
        <x:v>max-|t| decision chart</x:v>
      </x:c>
      <x:c r="P12" s="170" t="str">
        <x:v>max-|t| decision chart</x:v>
      </x:c>
      <x:c r="Q12" s="167"/>
      <x:c r="R12" s="167"/>
      <x:c r="S12" s="167"/>
      <x:c r="T12" s="167"/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</x:sheetData>
  <x:mergeCells>
    <x:mergeCell ref="A1:P1"/>
    <x:mergeCell ref="A2:P2"/>
    <x:mergeCell ref="A12:P12"/>
  </x:mergeCells>
  <x:conditionalFormatting sqref="P5:P10">
    <x:cfRule type="containsText" dxfId="2" priority="1" operator="containsText" text="Not distinguishable"/>
    <x:cfRule type="notContainsText" dxfId="3" priority="2" text="Not distinguishable"/>
  </x:conditionalFormatting>
  <x:pageMargins left="0.7" right="0.7" top="0.75" bottom="0.75" header="0.3" footer="0.3"/>
  <x:drawing xmlns:r="http://schemas.openxmlformats.org/officeDocument/2006/relationships" r:id="R9b6454092240461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2" hidden="0" customWidth="1"/>
    <x:col min="16" max="16" width="2" hidden="0" customWidth="1"/>
    <x:col min="17" max="17" width="24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1.600000381469727" hidden="0" customHeight="1">
      <x:c r="A1" s="165" t="str">
        <x:v>One-step versus complete-refit agreement</x:v>
      </x:c>
      <x:c r="B1" s="165" t="str">
        <x:v>One-step versus complete-refit agreement</x:v>
      </x:c>
      <x:c r="C1" s="165" t="str">
        <x:v>One-step versus complete-refit agreement</x:v>
      </x:c>
      <x:c r="D1" s="165" t="str">
        <x:v>One-step versus complete-refit agreement</x:v>
      </x:c>
      <x:c r="E1" s="165" t="str">
        <x:v>One-step versus complete-refit agreement</x:v>
      </x:c>
      <x:c r="F1" s="165" t="str">
        <x:v>One-step versus complete-refit agreement</x:v>
      </x:c>
      <x:c r="G1" s="165" t="str">
        <x:v>One-step versus complete-refit agreement</x:v>
      </x:c>
      <x:c r="H1" s="165" t="str">
        <x:v>One-step versus complete-refit agreement</x:v>
      </x:c>
      <x:c r="I1" s="165" t="str">
        <x:v>One-step versus complete-refit agreement</x:v>
      </x:c>
      <x:c r="J1" s="165" t="str">
        <x:v>One-step versus complete-refit agreement</x:v>
      </x:c>
      <x:c r="K1" s="165" t="str">
        <x:v>One-step versus complete-refit agreement</x:v>
      </x:c>
      <x:c r="L1" s="165" t="str">
        <x:v>One-step versus complete-refit agreement</x:v>
      </x:c>
      <x:c r="M1" s="165" t="str">
        <x:v>One-step versus complete-refit agreement</x:v>
      </x:c>
      <x:c r="N1" s="165" t="str">
        <x:v>One-step versus complete-refit agreement</x:v>
      </x:c>
      <x:c r="O1" s="167"/>
      <x:c r="P1" s="167"/>
      <x:c r="Q1" s="167"/>
      <x:c r="R1" s="167"/>
      <x:c r="S1" s="167"/>
      <x:c r="T1" s="167"/>
      <x:c r="U1" s="167"/>
    </x:row>
    <x:row r="2" ht="15" hidden="0" customHeight="1">
      <x:c r="A2" s="166" t="str">
        <x:v>Same 200 stratified paired-item bootstrap samples. PASS requires MAE &lt;= 0.005, correlation &gt;= 0.95, and CI-width ratio between 0.80 and 1.20.</x:v>
      </x:c>
      <x:c r="B2" s="166" t="str">
        <x:v>Same 200 stratified paired-item bootstrap samples. PASS requires MAE &lt;= 0.005, correlation &gt;= 0.95, and CI-width ratio between 0.80 and 1.20.</x:v>
      </x:c>
      <x:c r="C2" s="166" t="str">
        <x:v>Same 200 stratified paired-item bootstrap samples. PASS requires MAE &lt;= 0.005, correlation &gt;= 0.95, and CI-width ratio between 0.80 and 1.20.</x:v>
      </x:c>
      <x:c r="D2" s="166" t="str">
        <x:v>Same 200 stratified paired-item bootstrap samples. PASS requires MAE &lt;= 0.005, correlation &gt;= 0.95, and CI-width ratio between 0.80 and 1.20.</x:v>
      </x:c>
      <x:c r="E2" s="166" t="str">
        <x:v>Same 200 stratified paired-item bootstrap samples. PASS requires MAE &lt;= 0.005, correlation &gt;= 0.95, and CI-width ratio between 0.80 and 1.20.</x:v>
      </x:c>
      <x:c r="F2" s="166" t="str">
        <x:v>Same 200 stratified paired-item bootstrap samples. PASS requires MAE &lt;= 0.005, correlation &gt;= 0.95, and CI-width ratio between 0.80 and 1.20.</x:v>
      </x:c>
      <x:c r="G2" s="166" t="str">
        <x:v>Same 200 stratified paired-item bootstrap samples. PASS requires MAE &lt;= 0.005, correlation &gt;= 0.95, and CI-width ratio between 0.80 and 1.20.</x:v>
      </x:c>
      <x:c r="H2" s="166" t="str">
        <x:v>Same 200 stratified paired-item bootstrap samples. PASS requires MAE &lt;= 0.005, correlation &gt;= 0.95, and CI-width ratio between 0.80 and 1.20.</x:v>
      </x:c>
      <x:c r="I2" s="166" t="str">
        <x:v>Same 200 stratified paired-item bootstrap samples. PASS requires MAE &lt;= 0.005, correlation &gt;= 0.95, and CI-width ratio between 0.80 and 1.20.</x:v>
      </x:c>
      <x:c r="J2" s="166" t="str">
        <x:v>Same 200 stratified paired-item bootstrap samples. PASS requires MAE &lt;= 0.005, correlation &gt;= 0.95, and CI-width ratio between 0.80 and 1.20.</x:v>
      </x:c>
      <x:c r="K2" s="166" t="str">
        <x:v>Same 200 stratified paired-item bootstrap samples. PASS requires MAE &lt;= 0.005, correlation &gt;= 0.95, and CI-width ratio between 0.80 and 1.20.</x:v>
      </x:c>
      <x:c r="L2" s="166" t="str">
        <x:v>Same 200 stratified paired-item bootstrap samples. PASS requires MAE &lt;= 0.005, correlation &gt;= 0.95, and CI-width ratio between 0.80 and 1.20.</x:v>
      </x:c>
      <x:c r="M2" s="166" t="str">
        <x:v>Same 200 stratified paired-item bootstrap samples. PASS requires MAE &lt;= 0.005, correlation &gt;= 0.95, and CI-width ratio between 0.80 and 1.20.</x:v>
      </x:c>
      <x:c r="N2" s="166" t="str">
        <x:v>Same 200 stratified paired-item bootstrap samples. PASS requires MAE &lt;= 0.005, correlation &gt;= 0.95, and CI-width ratio between 0.80 and 1.20.</x:v>
      </x:c>
      <x:c r="O2" s="167"/>
      <x:c r="P2" s="167"/>
      <x:c r="Q2" s="167"/>
      <x:c r="R2" s="167"/>
      <x:c r="S2" s="167"/>
      <x:c r="T2" s="167"/>
      <x:c r="U2" s="167"/>
    </x:row>
    <x:row r="3" ht="15" hidden="0" customHeight="1">
      <x:c r="A3" s="167"/>
      <x:c r="B3" s="167"/>
      <x:c r="C3" s="167"/>
      <x:c r="D3" s="167"/>
      <x:c r="E3" s="167"/>
      <x:c r="F3" s="167"/>
      <x:c r="G3" s="167"/>
      <x:c r="H3" s="167"/>
      <x:c r="I3" s="167"/>
      <x:c r="J3" s="167"/>
      <x:c r="K3" s="167"/>
      <x:c r="L3" s="167"/>
      <x:c r="M3" s="167"/>
      <x:c r="N3" s="167"/>
      <x:c r="O3" s="167"/>
      <x:c r="P3" s="167"/>
      <x:c r="Q3" s="167"/>
      <x:c r="R3" s="167"/>
      <x:c r="S3" s="167"/>
      <x:c r="T3" s="167"/>
      <x:c r="U3" s="167"/>
    </x:row>
    <x:row r="4" ht="15" hidden="0" customHeight="1">
      <x:c r="A4" s="168" t="str">
        <x:v>Metric</x:v>
      </x:c>
      <x:c r="B4" s="188" t="str">
        <x:v>Model</x:v>
      </x:c>
      <x:c r="C4" s="188" t="str">
        <x:v>One-step mean</x:v>
      </x:c>
      <x:c r="D4" s="188" t="str">
        <x:v>Full-refit mean</x:v>
      </x:c>
      <x:c r="E4" s="188" t="str">
        <x:v>Bias</x:v>
      </x:c>
      <x:c r="F4" s="188" t="str">
        <x:v>MAE</x:v>
      </x:c>
      <x:c r="G4" s="188" t="str">
        <x:v>RMSE</x:v>
      </x:c>
      <x:c r="H4" s="188" t="str">
        <x:v>Max abs. error</x:v>
      </x:c>
      <x:c r="I4" s="188" t="str">
        <x:v>Correlation</x:v>
      </x:c>
      <x:c r="J4" s="188" t="str">
        <x:v>One CI low</x:v>
      </x:c>
      <x:c r="K4" s="188" t="str">
        <x:v>One CI high</x:v>
      </x:c>
      <x:c r="L4" s="188" t="str">
        <x:v>Full CI low</x:v>
      </x:c>
      <x:c r="M4" s="188" t="str">
        <x:v>Full CI high</x:v>
      </x:c>
      <x:c r="N4" s="188" t="str">
        <x:v>CI-width ratio</x:v>
      </x:c>
      <x:c r="O4" s="169" t="str">
        <x:v>Row decision</x:v>
      </x:c>
      <x:c r="P4" s="167"/>
      <x:c r="Q4" s="168" t="str">
        <x:v>Metric</x:v>
      </x:c>
      <x:c r="R4" s="188" t="str">
        <x:v>GPT</x:v>
      </x:c>
      <x:c r="S4" s="188" t="str">
        <x:v>Qwen</x:v>
      </x:c>
      <x:c r="T4" s="188" t="str">
        <x:v>Claude</x:v>
      </x:c>
      <x:c r="U4" s="169" t="str">
        <x:v>Llama</x:v>
      </x:c>
    </x:row>
    <x:row r="5" ht="15" hidden="0" customHeight="1">
      <x:c r="A5" s="171" t="str">
        <x:v>Baseline reliability</x:v>
      </x:c>
      <x:c r="B5" s="189" t="str">
        <x:v>GPT-4.1-mini</x:v>
      </x:c>
      <x:c r="C5" s="213" t="n">
        <x:v>0.9030290717123719</x:v>
      </x:c>
      <x:c r="D5" s="213" t="n">
        <x:v>0.9031679745387333</x:v>
      </x:c>
      <x:c r="E5" s="213" t="n">
        <x:v>-0.00013890282636153272</x:v>
      </x:c>
      <x:c r="F5" s="213" t="n">
        <x:v>0.00022489276251270117</x:v>
      </x:c>
      <x:c r="G5" s="213" t="n">
        <x:v>0.00028959164190758965</x:v>
      </x:c>
      <x:c r="H5" s="213" t="n">
        <x:v>0.000760983734551024</x:v>
      </x:c>
      <x:c r="I5" s="213" t="n">
        <x:v>0.9985506939455231</x:v>
      </x:c>
      <x:c r="J5" s="213" t="n">
        <x:v>0.8938025151290011</x:v>
      </x:c>
      <x:c r="K5" s="213" t="n">
        <x:v>0.9126718976852738</x:v>
      </x:c>
      <x:c r="L5" s="213" t="n">
        <x:v>0.8941030134405056</x:v>
      </x:c>
      <x:c r="M5" s="213" t="n">
        <x:v>0.913012973967945</x:v>
      </x:c>
      <x:c r="N5" s="213" t="n">
        <x:v>0.9978541482882599</x:v>
      </x:c>
      <x:c r="O5" s="191" t="str">
        <x:f>IF(AND(F5&lt;=0.005,I5&gt;=0.95,N5&gt;=0.8,N5&lt;=1.2),"PASS","REVIEW")</x:f>
        <x:v>PASS</x:v>
      </x:c>
      <x:c r="P5" s="167"/>
      <x:c r="Q5" s="171" t="str">
        <x:v>Baseline reliability</x:v>
      </x:c>
      <x:c r="R5" s="213" t="n">
        <x:f>F5</x:f>
        <x:v>0.00022489276251270117</x:v>
      </x:c>
      <x:c r="S5" s="213" t="n">
        <x:f>F6</x:f>
        <x:v>0.0003685955330710705</x:v>
      </x:c>
      <x:c r="T5" s="213" t="n">
        <x:f>F7</x:f>
        <x:v>0.0004323325031768671</x:v>
      </x:c>
      <x:c r="U5" s="214" t="n">
        <x:f>F8</x:f>
        <x:v>0.0005171292572137826</x:v>
      </x:c>
    </x:row>
    <x:row r="6" ht="15" hidden="0" customHeight="1">
      <x:c r="A6" s="176" t="str">
        <x:v>Baseline reliability</x:v>
      </x:c>
      <x:c r="B6" s="192" t="str">
        <x:v>Qwen2.5-7B</x:v>
      </x:c>
      <x:c r="C6" s="215" t="n">
        <x:v>0.8173707988048219</x:v>
      </x:c>
      <x:c r="D6" s="215" t="n">
        <x:v>0.8175692935370563</x:v>
      </x:c>
      <x:c r="E6" s="215" t="n">
        <x:v>-0.00019849473223451376</x:v>
      </x:c>
      <x:c r="F6" s="215" t="n">
        <x:v>0.0003685955330710705</x:v>
      </x:c>
      <x:c r="G6" s="215" t="n">
        <x:v>0.0004802474416826197</x:v>
      </x:c>
      <x:c r="H6" s="215" t="n">
        <x:v>0.0015406500525643185</x:v>
      </x:c>
      <x:c r="I6" s="215" t="n">
        <x:v>0.9982583271412216</x:v>
      </x:c>
      <x:c r="J6" s="215" t="n">
        <x:v>0.8025547499004965</x:v>
      </x:c>
      <x:c r="K6" s="215" t="n">
        <x:v>0.8315508431322735</x:v>
      </x:c>
      <x:c r="L6" s="215" t="n">
        <x:v>0.8026232993325967</x:v>
      </x:c>
      <x:c r="M6" s="215" t="n">
        <x:v>0.8315986715170539</x:v>
      </x:c>
      <x:c r="N6" s="215" t="n">
        <x:v>1.000715126183293</x:v>
      </x:c>
      <x:c r="O6" s="194" t="str">
        <x:f>IF(AND(F6&lt;=0.005,I6&gt;=0.95,N6&gt;=0.8,N6&lt;=1.2),"PASS","REVIEW")</x:f>
        <x:v>PASS</x:v>
      </x:c>
      <x:c r="P6" s="167"/>
      <x:c r="Q6" s="176" t="str">
        <x:v>Safety reliability</x:v>
      </x:c>
      <x:c r="R6" s="215" t="n">
        <x:f>F9</x:f>
        <x:v>0.000201220786175359</x:v>
      </x:c>
      <x:c r="S6" s="215" t="n">
        <x:f>F10</x:f>
        <x:v>0.0003468524056480993</x:v>
      </x:c>
      <x:c r="T6" s="215" t="n">
        <x:f>F11</x:f>
        <x:v>0.00037110889540030223</x:v>
      </x:c>
      <x:c r="U6" s="216" t="n">
        <x:f>F12</x:f>
        <x:v>0.0004991456627898661</x:v>
      </x:c>
    </x:row>
    <x:row r="7" ht="15" hidden="0" customHeight="1">
      <x:c r="A7" s="176" t="str">
        <x:v>Baseline reliability</x:v>
      </x:c>
      <x:c r="B7" s="192" t="str">
        <x:v>Claude Haiku 4.5</x:v>
      </x:c>
      <x:c r="C7" s="215" t="n">
        <x:v>0.7706285944905402</x:v>
      </x:c>
      <x:c r="D7" s="215" t="n">
        <x:v>0.7708396301961714</x:v>
      </x:c>
      <x:c r="E7" s="215" t="n">
        <x:v>-0.00021103570563125562</x:v>
      </x:c>
      <x:c r="F7" s="215" t="n">
        <x:v>0.0004323325031768671</x:v>
      </x:c>
      <x:c r="G7" s="215" t="n">
        <x:v>0.000552122846774488</x:v>
      </x:c>
      <x:c r="H7" s="215" t="n">
        <x:v>0.0014748489351797955</x:v>
      </x:c>
      <x:c r="I7" s="215" t="n">
        <x:v>0.9982351193212122</x:v>
      </x:c>
      <x:c r="J7" s="215" t="n">
        <x:v>0.7558207103062274</x:v>
      </x:c>
      <x:c r="K7" s="215" t="n">
        <x:v>0.786163800666436</x:v>
      </x:c>
      <x:c r="L7" s="215" t="n">
        <x:v>0.7558822171012821</x:v>
      </x:c>
      <x:c r="M7" s="215" t="n">
        <x:v>0.7871569627554016</x:v>
      </x:c>
      <x:c r="N7" s="215" t="n">
        <x:v>0.9702106196413396</x:v>
      </x:c>
      <x:c r="O7" s="194" t="str">
        <x:f>IF(AND(F7&lt;=0.005,I7&gt;=0.95,N7&gt;=0.8,N7&lt;=1.2),"PASS","REVIEW")</x:f>
        <x:v>PASS</x:v>
      </x:c>
      <x:c r="P7" s="167"/>
      <x:c r="Q7" s="176" t="str">
        <x:v>Condition effect</x:v>
      </x:c>
      <x:c r="R7" s="215" t="n">
        <x:f>F13</x:f>
        <x:v>0.000047163971189769226</x:v>
      </x:c>
      <x:c r="S7" s="215" t="n">
        <x:f>F14</x:f>
        <x:v>0.00006671721628577154</x:v>
      </x:c>
      <x:c r="T7" s="215" t="n">
        <x:f>F15</x:f>
        <x:v>0.00008339116711360117</x:v>
      </x:c>
      <x:c r="U7" s="216" t="n">
        <x:f>F16</x:f>
        <x:v>0.00006373189591609873</x:v>
      </x:c>
    </x:row>
    <x:row r="8" ht="15" hidden="0" customHeight="1">
      <x:c r="A8" s="176" t="str">
        <x:v>Baseline reliability</x:v>
      </x:c>
      <x:c r="B8" s="192" t="str">
        <x:v>Llama 3.1-8B</x:v>
      </x:c>
      <x:c r="C8" s="215" t="n">
        <x:v>0.6441479055393365</x:v>
      </x:c>
      <x:c r="D8" s="215" t="n">
        <x:v>0.6443541660454974</x:v>
      </x:c>
      <x:c r="E8" s="215" t="n">
        <x:v>-0.00020626050616092073</x:v>
      </x:c>
      <x:c r="F8" s="215" t="n">
        <x:v>0.0005171292572137826</x:v>
      </x:c>
      <x:c r="G8" s="215" t="n">
        <x:v>0.0006701315984337308</x:v>
      </x:c>
      <x:c r="H8" s="215" t="n">
        <x:v>0.0017794472933766459</x:v>
      </x:c>
      <x:c r="I8" s="215" t="n">
        <x:v>0.9980659639585917</x:v>
      </x:c>
      <x:c r="J8" s="215" t="n">
        <x:v>0.6245973315994351</x:v>
      </x:c>
      <x:c r="K8" s="215" t="n">
        <x:v>0.664047552149208</x:v>
      </x:c>
      <x:c r="L8" s="215" t="n">
        <x:v>0.6256263053046021</x:v>
      </x:c>
      <x:c r="M8" s="215" t="n">
        <x:v>0.6656700735154907</x:v>
      </x:c>
      <x:c r="N8" s="215" t="n">
        <x:v>0.9851775272998821</x:v>
      </x:c>
      <x:c r="O8" s="194" t="str">
        <x:f>IF(AND(F8&lt;=0.005,I8&gt;=0.95,N8&gt;=0.8,N8&lt;=1.2),"PASS","REVIEW")</x:f>
        <x:v>PASS</x:v>
      </x:c>
      <x:c r="P8" s="167"/>
      <x:c r="Q8" s="183" t="str">
        <x:v>Primary composite score</x:v>
      </x:c>
      <x:c r="R8" s="217" t="n">
        <x:f>F17</x:f>
        <x:v>0.00024983797902603075</x:v>
      </x:c>
      <x:c r="S8" s="217" t="n">
        <x:f>F18</x:f>
        <x:v>0.00038812612248421475</x:v>
      </x:c>
      <x:c r="T8" s="217" t="n">
        <x:f>F19</x:f>
        <x:v>0.00046582321256538774</x:v>
      </x:c>
      <x:c r="U8" s="218" t="n">
        <x:f>F20</x:f>
        <x:v>0.0005117691730778584</x:v>
      </x:c>
    </x:row>
    <x:row r="9" ht="15" hidden="0" customHeight="1">
      <x:c r="A9" s="176" t="str">
        <x:v>Safety reliability</x:v>
      </x:c>
      <x:c r="B9" s="192" t="str">
        <x:v>GPT-4.1-mini</x:v>
      </x:c>
      <x:c r="C9" s="215" t="n">
        <x:v>0.9149149890844989</x:v>
      </x:c>
      <x:c r="D9" s="215" t="n">
        <x:v>0.9150368862393399</x:v>
      </x:c>
      <x:c r="E9" s="215" t="n">
        <x:v>-0.00012189715484103413</x:v>
      </x:c>
      <x:c r="F9" s="215" t="n">
        <x:v>0.000201220786175359</x:v>
      </x:c>
      <x:c r="G9" s="215" t="n">
        <x:v>0.00025757915324001895</x:v>
      </x:c>
      <x:c r="H9" s="215" t="n">
        <x:v>0.0006613698733836104</x:v>
      </x:c>
      <x:c r="I9" s="215" t="n">
        <x:v>0.9983340239290933</x:v>
      </x:c>
      <x:c r="J9" s="215" t="n">
        <x:v>0.9072855991730061</x:v>
      </x:c>
      <x:c r="K9" s="215" t="n">
        <x:v>0.9227889844298653</x:v>
      </x:c>
      <x:c r="L9" s="215" t="n">
        <x:v>0.9075462620446959</x:v>
      </x:c>
      <x:c r="M9" s="215" t="n">
        <x:v>0.922983647260088</x:v>
      </x:c>
      <x:c r="N9" s="215" t="n">
        <x:v>1.0042753381188783</x:v>
      </x:c>
      <x:c r="O9" s="194" t="str">
        <x:f>IF(AND(F9&lt;=0.005,I9&gt;=0.95,N9&gt;=0.8,N9&lt;=1.2),"PASS","REVIEW")</x:f>
        <x:v>PASS</x:v>
      </x:c>
      <x:c r="P9" s="167"/>
      <x:c r="Q9" s="167"/>
      <x:c r="R9" s="167"/>
      <x:c r="S9" s="167"/>
      <x:c r="T9" s="167"/>
      <x:c r="U9" s="167"/>
    </x:row>
    <x:row r="10" ht="15" hidden="0" customHeight="1">
      <x:c r="A10" s="176" t="str">
        <x:v>Safety reliability</x:v>
      </x:c>
      <x:c r="B10" s="192" t="str">
        <x:v>Qwen2.5-7B</x:v>
      </x:c>
      <x:c r="C10" s="215" t="n">
        <x:v>0.8365963330043827</x:v>
      </x:c>
      <x:c r="D10" s="215" t="n">
        <x:v>0.8367840869696722</x:v>
      </x:c>
      <x:c r="E10" s="215" t="n">
        <x:v>-0.0001877539652895055</x:v>
      </x:c>
      <x:c r="F10" s="215" t="n">
        <x:v>0.0003468524056480993</x:v>
      </x:c>
      <x:c r="G10" s="215" t="n">
        <x:v>0.000449645971572262</x:v>
      </x:c>
      <x:c r="H10" s="215" t="n">
        <x:v>0.0014438399029655935</x:v>
      </x:c>
      <x:c r="I10" s="215" t="n">
        <x:v>0.9982685965801038</x:v>
      </x:c>
      <x:c r="J10" s="215" t="n">
        <x:v>0.8224284621542314</x:v>
      </x:c>
      <x:c r="K10" s="215" t="n">
        <x:v>0.8498255403779992</x:v>
      </x:c>
      <x:c r="L10" s="215" t="n">
        <x:v>0.8225804130271596</x:v>
      </x:c>
      <x:c r="M10" s="215" t="n">
        <x:v>0.8508449246684114</x:v>
      </x:c>
      <x:c r="N10" s="215" t="n">
        <x:v>0.9693101572567748</x:v>
      </x:c>
      <x:c r="O10" s="194" t="str">
        <x:f>IF(AND(F10&lt;=0.005,I10&gt;=0.95,N10&gt;=0.8,N10&lt;=1.2),"PASS","REVIEW")</x:f>
        <x:v>PASS</x:v>
      </x:c>
      <x:c r="P10" s="167"/>
      <x:c r="Q10" s="167"/>
      <x:c r="R10" s="167"/>
      <x:c r="S10" s="167"/>
      <x:c r="T10" s="167"/>
      <x:c r="U10" s="167"/>
    </x:row>
    <x:row r="11" ht="15" hidden="0" customHeight="1">
      <x:c r="A11" s="176" t="str">
        <x:v>Safety reliability</x:v>
      </x:c>
      <x:c r="B11" s="192" t="str">
        <x:v>Claude Haiku 4.5</x:v>
      </x:c>
      <x:c r="C11" s="215" t="n">
        <x:v>0.811801974052934</x:v>
      </x:c>
      <x:c r="D11" s="215" t="n">
        <x:v>0.8119956471959634</x:v>
      </x:c>
      <x:c r="E11" s="215" t="n">
        <x:v>-0.00019367314302947637</x:v>
      </x:c>
      <x:c r="F11" s="215" t="n">
        <x:v>0.00037110889540030223</x:v>
      </x:c>
      <x:c r="G11" s="215" t="n">
        <x:v>0.000480362680326786</x:v>
      </x:c>
      <x:c r="H11" s="215" t="n">
        <x:v>0.0013195127199866485</x:v>
      </x:c>
      <x:c r="I11" s="215" t="n">
        <x:v>0.9981636087553102</x:v>
      </x:c>
      <x:c r="J11" s="215" t="n">
        <x:v>0.7984058077778317</x:v>
      </x:c>
      <x:c r="K11" s="215" t="n">
        <x:v>0.8242774581623187</x:v>
      </x:c>
      <x:c r="L11" s="215" t="n">
        <x:v>0.7984646768432607</x:v>
      </x:c>
      <x:c r="M11" s="215" t="n">
        <x:v>0.8243832375337046</x:v>
      </x:c>
      <x:c r="N11" s="215" t="n">
        <x:v>0.9981900883109561</x:v>
      </x:c>
      <x:c r="O11" s="194" t="str">
        <x:f>IF(AND(F11&lt;=0.005,I11&gt;=0.95,N11&gt;=0.8,N11&lt;=1.2),"PASS","REVIEW")</x:f>
        <x:v>PASS</x:v>
      </x:c>
      <x:c r="P11" s="167"/>
      <x:c r="Q11" s="167"/>
      <x:c r="R11" s="167"/>
      <x:c r="S11" s="167"/>
      <x:c r="T11" s="167"/>
      <x:c r="U11" s="167"/>
    </x:row>
    <x:row r="12" ht="15" hidden="0" customHeight="1">
      <x:c r="A12" s="176" t="str">
        <x:v>Safety reliability</x:v>
      </x:c>
      <x:c r="B12" s="192" t="str">
        <x:v>Llama 3.1-8B</x:v>
      </x:c>
      <x:c r="C12" s="215" t="n">
        <x:v>0.6859018854048827</x:v>
      </x:c>
      <x:c r="D12" s="215" t="n">
        <x:v>0.6860997452051982</x:v>
      </x:c>
      <x:c r="E12" s="215" t="n">
        <x:v>-0.00019785980031558848</x:v>
      </x:c>
      <x:c r="F12" s="215" t="n">
        <x:v>0.0004991456627898661</x:v>
      </x:c>
      <x:c r="G12" s="215" t="n">
        <x:v>0.0006438913805142197</x:v>
      </x:c>
      <x:c r="H12" s="215" t="n">
        <x:v>0.0017313380457075755</x:v>
      </x:c>
      <x:c r="I12" s="215" t="n">
        <x:v>0.9981979841617789</x:v>
      </x:c>
      <x:c r="J12" s="215" t="n">
        <x:v>0.6655298956580503</x:v>
      </x:c>
      <x:c r="K12" s="215" t="n">
        <x:v>0.7063052180124074</x:v>
      </x:c>
      <x:c r="L12" s="215" t="n">
        <x:v>0.6666256830573488</x:v>
      </x:c>
      <x:c r="M12" s="215" t="n">
        <x:v>0.7074460772481284</x:v>
      </x:c>
      <x:c r="N12" s="215" t="n">
        <x:v>0.9988958500446666</x:v>
      </x:c>
      <x:c r="O12" s="194" t="str">
        <x:f>IF(AND(F12&lt;=0.005,I12&gt;=0.95,N12&gt;=0.8,N12&lt;=1.2),"PASS","REVIEW")</x:f>
        <x:v>PASS</x:v>
      </x:c>
      <x:c r="P12" s="167"/>
      <x:c r="Q12" s="167"/>
      <x:c r="R12" s="167"/>
      <x:c r="S12" s="167"/>
      <x:c r="T12" s="167"/>
      <x:c r="U12" s="167"/>
    </x:row>
    <x:row r="13" ht="15" hidden="0" customHeight="1">
      <x:c r="A13" s="176" t="str">
        <x:v>Condition effect</x:v>
      </x:c>
      <x:c r="B13" s="192" t="str">
        <x:v>GPT-4.1-mini</x:v>
      </x:c>
      <x:c r="C13" s="215" t="n">
        <x:v>0.011885917372126848</x:v>
      </x:c>
      <x:c r="D13" s="215" t="n">
        <x:v>0.01186891170060635</x:v>
      </x:c>
      <x:c r="E13" s="215" t="n">
        <x:v>0.000017005671520498588</x:v>
      </x:c>
      <x:c r="F13" s="215" t="n">
        <x:v>0.000047163971189769226</x:v>
      </x:c>
      <x:c r="G13" s="215" t="n">
        <x:v>0.00006456713622201969</x:v>
      </x:c>
      <x:c r="H13" s="215" t="n">
        <x:v>0.00025593876707175056</x:v>
      </x:c>
      <x:c r="I13" s="215" t="n">
        <x:v>0.9998108709368226</x:v>
      </x:c>
      <x:c r="J13" s="215" t="n">
        <x:v>0.006246028517395782</x:v>
      </x:c>
      <x:c r="K13" s="215" t="n">
        <x:v>0.017669910077497353</x:v>
      </x:c>
      <x:c r="L13" s="215" t="n">
        <x:v>0.006100489486832425</x:v>
      </x:c>
      <x:c r="M13" s="215" t="n">
        <x:v>0.017697828248579343</x:v>
      </x:c>
      <x:c r="N13" s="215" t="n">
        <x:v>0.9850433616531505</x:v>
      </x:c>
      <x:c r="O13" s="194" t="str">
        <x:f>IF(AND(F13&lt;=0.005,I13&gt;=0.95,N13&gt;=0.8,N13&lt;=1.2),"PASS","REVIEW")</x:f>
        <x:v>PASS</x:v>
      </x:c>
      <x:c r="P13" s="167"/>
      <x:c r="Q13" s="167"/>
      <x:c r="R13" s="167"/>
      <x:c r="S13" s="167"/>
      <x:c r="T13" s="167"/>
      <x:c r="U13" s="167"/>
    </x:row>
    <x:row r="14" ht="15" hidden="0" customHeight="1">
      <x:c r="A14" s="176" t="str">
        <x:v>Condition effect</x:v>
      </x:c>
      <x:c r="B14" s="192" t="str">
        <x:v>Qwen2.5-7B</x:v>
      </x:c>
      <x:c r="C14" s="215" t="n">
        <x:v>0.019225534199561065</x:v>
      </x:c>
      <x:c r="D14" s="215" t="n">
        <x:v>0.019214793432616055</x:v>
      </x:c>
      <x:c r="E14" s="215" t="n">
        <x:v>0.000010740766945008251</x:v>
      </x:c>
      <x:c r="F14" s="215" t="n">
        <x:v>0.00006671721628577154</x:v>
      </x:c>
      <x:c r="G14" s="215" t="n">
        <x:v>0.00008759822268646288</x:v>
      </x:c>
      <x:c r="H14" s="215" t="n">
        <x:v>0.00029660833292632915</x:v>
      </x:c>
      <x:c r="I14" s="215" t="n">
        <x:v>0.9998898715834286</x:v>
      </x:c>
      <x:c r="J14" s="215" t="n">
        <x:v>0.008708688046348943</x:v>
      </x:c>
      <x:c r="K14" s="215" t="n">
        <x:v>0.030592403810470643</x:v>
      </x:c>
      <x:c r="L14" s="215" t="n">
        <x:v>0.008611914732363472</x:v>
      </x:c>
      <x:c r="M14" s="215" t="n">
        <x:v>0.030492752956245327</x:v>
      </x:c>
      <x:c r="N14" s="215" t="n">
        <x:v>1.0001315095980512</x:v>
      </x:c>
      <x:c r="O14" s="194" t="str">
        <x:f>IF(AND(F14&lt;=0.005,I14&gt;=0.95,N14&gt;=0.8,N14&lt;=1.2),"PASS","REVIEW")</x:f>
        <x:v>PASS</x:v>
      </x:c>
      <x:c r="P14" s="167"/>
      <x:c r="Q14" s="167"/>
      <x:c r="R14" s="167"/>
      <x:c r="S14" s="167"/>
      <x:c r="T14" s="167"/>
      <x:c r="U14" s="167"/>
    </x:row>
    <x:row r="15" ht="15" hidden="0" customHeight="1">
      <x:c r="A15" s="176" t="str">
        <x:v>Condition effect</x:v>
      </x:c>
      <x:c r="B15" s="192" t="str">
        <x:v>Claude Haiku 4.5</x:v>
      </x:c>
      <x:c r="C15" s="215" t="n">
        <x:v>0.0411733795623938</x:v>
      </x:c>
      <x:c r="D15" s="215" t="n">
        <x:v>0.041156016999792024</x:v>
      </x:c>
      <x:c r="E15" s="215" t="n">
        <x:v>0.000017362562601779265</x:v>
      </x:c>
      <x:c r="F15" s="215" t="n">
        <x:v>0.00008339116711360117</x:v>
      </x:c>
      <x:c r="G15" s="215" t="n">
        <x:v>0.0001137594262640211</x:v>
      </x:c>
      <x:c r="H15" s="215" t="n">
        <x:v>0.00046501251230923746</x:v>
      </x:c>
      <x:c r="I15" s="215" t="n">
        <x:v>0.9998349619035235</x:v>
      </x:c>
      <x:c r="J15" s="215" t="n">
        <x:v>0.02974393975851717</x:v>
      </x:c>
      <x:c r="K15" s="215" t="n">
        <x:v>0.05283123863900132</x:v>
      </x:c>
      <x:c r="L15" s="215" t="n">
        <x:v>0.029881872103779676</x:v>
      </x:c>
      <x:c r="M15" s="215" t="n">
        <x:v>0.05263359027569046</x:v>
      </x:c>
      <x:c r="N15" s="215" t="n">
        <x:v>1.0147496864209435</x:v>
      </x:c>
      <x:c r="O15" s="194" t="str">
        <x:f>IF(AND(F15&lt;=0.005,I15&gt;=0.95,N15&gt;=0.8,N15&lt;=1.2),"PASS","REVIEW")</x:f>
        <x:v>PASS</x:v>
      </x:c>
      <x:c r="P15" s="167"/>
      <x:c r="Q15" s="167"/>
      <x:c r="R15" s="167"/>
      <x:c r="S15" s="167"/>
      <x:c r="T15" s="167"/>
      <x:c r="U15" s="167"/>
    </x:row>
    <x:row r="16" ht="15" hidden="0" customHeight="1">
      <x:c r="A16" s="176" t="str">
        <x:v>Condition effect</x:v>
      </x:c>
      <x:c r="B16" s="192" t="str">
        <x:v>Llama 3.1-8B</x:v>
      </x:c>
      <x:c r="C16" s="215" t="n">
        <x:v>0.04175397986554615</x:v>
      </x:c>
      <x:c r="D16" s="215" t="n">
        <x:v>0.04174557915970082</x:v>
      </x:c>
      <x:c r="E16" s="215" t="n">
        <x:v>0.000008400705845332257</x:v>
      </x:c>
      <x:c r="F16" s="215" t="n">
        <x:v>0.00006373189591609873</x:v>
      </x:c>
      <x:c r="G16" s="215" t="n">
        <x:v>0.00008736818623170689</x:v>
      </x:c>
      <x:c r="H16" s="215" t="n">
        <x:v>0.0003893205715228554</x:v>
      </x:c>
      <x:c r="I16" s="215" t="n">
        <x:v>0.9999477809582439</x:v>
      </x:c>
      <x:c r="J16" s="215" t="n">
        <x:v>0.02635822407920288</x:v>
      </x:c>
      <x:c r="K16" s="215" t="n">
        <x:v>0.05732801300736433</x:v>
      </x:c>
      <x:c r="L16" s="215" t="n">
        <x:v>0.026412144322515575</x:v>
      </x:c>
      <x:c r="M16" s="215" t="n">
        <x:v>0.057286097653538724</x:v>
      </x:c>
      <x:c r="N16" s="215" t="n">
        <x:v>1.0031040921812238</x:v>
      </x:c>
      <x:c r="O16" s="194" t="str">
        <x:f>IF(AND(F16&lt;=0.005,I16&gt;=0.95,N16&gt;=0.8,N16&lt;=1.2),"PASS","REVIEW")</x:f>
        <x:v>PASS</x:v>
      </x:c>
      <x:c r="P16" s="167"/>
      <x:c r="Q16" s="167"/>
      <x:c r="R16" s="167"/>
      <x:c r="S16" s="167"/>
      <x:c r="T16" s="167"/>
      <x:c r="U16" s="167"/>
    </x:row>
    <x:row r="17" ht="15" hidden="0" customHeight="1">
      <x:c r="A17" s="176" t="str">
        <x:v>Primary composite score</x:v>
      </x:c>
      <x:c r="B17" s="192" t="str">
        <x:v>GPT-4.1-mini</x:v>
      </x:c>
      <x:c r="C17" s="215" t="n">
        <x:v>0.8923721615149688</x:v>
      </x:c>
      <x:c r="D17" s="215" t="n">
        <x:v>0.8925246597291553</x:v>
      </x:c>
      <x:c r="E17" s="215" t="n">
        <x:v>-0.0001524982141864284</x:v>
      </x:c>
      <x:c r="F17" s="215" t="n">
        <x:v>0.00024983797902603075</x:v>
      </x:c>
      <x:c r="G17" s="215" t="n">
        <x:v>0.00032302088293585424</x:v>
      </x:c>
      <x:c r="H17" s="215" t="n">
        <x:v>0.0008554552535608995</x:v>
      </x:c>
      <x:c r="I17" s="215" t="n">
        <x:v>0.999097751524778</x:v>
      </x:c>
      <x:c r="J17" s="215" t="n">
        <x:v>0.8787740548150225</x:v>
      </x:c>
      <x:c r="K17" s="215" t="n">
        <x:v>0.9046111344158059</x:v>
      </x:c>
      <x:c r="L17" s="215" t="n">
        <x:v>0.8791711387589383</x:v>
      </x:c>
      <x:c r="M17" s="215" t="n">
        <x:v>0.9048759261883135</x:v>
      </x:c>
      <x:c r="N17" s="215" t="n">
        <x:v>1.005146596593015</x:v>
      </x:c>
      <x:c r="O17" s="194" t="str">
        <x:f>IF(AND(F17&lt;=0.005,I17&gt;=0.95,N17&gt;=0.8,N17&lt;=1.2),"PASS","REVIEW")</x:f>
        <x:v>PASS</x:v>
      </x:c>
      <x:c r="P17" s="167"/>
      <x:c r="Q17" s="167"/>
      <x:c r="R17" s="167"/>
      <x:c r="S17" s="167"/>
      <x:c r="T17" s="167"/>
      <x:c r="U17" s="167"/>
    </x:row>
    <x:row r="18" ht="15" hidden="0" customHeight="1">
      <x:c r="A18" s="176" t="str">
        <x:v>Primary composite score</x:v>
      </x:c>
      <x:c r="B18" s="192" t="str">
        <x:v>Qwen2.5-7B</x:v>
      </x:c>
      <x:c r="C18" s="215" t="n">
        <x:v>0.801839617317667</x:v>
      </x:c>
      <x:c r="D18" s="215" t="n">
        <x:v>0.8020428770479859</x:v>
      </x:c>
      <x:c r="E18" s="215" t="n">
        <x:v>-0.00020325973031877444</x:v>
      </x:c>
      <x:c r="F18" s="215" t="n">
        <x:v>0.00038812612248421475</x:v>
      </x:c>
      <x:c r="G18" s="215" t="n">
        <x:v>0.0005054115176304469</x:v>
      </x:c>
      <x:c r="H18" s="215" t="n">
        <x:v>0.0015853098741523963</x:v>
      </x:c>
      <x:c r="I18" s="215" t="n">
        <x:v>0.9989863168549505</x:v>
      </x:c>
      <x:c r="J18" s="215" t="n">
        <x:v>0.7794485228100414</x:v>
      </x:c>
      <x:c r="K18" s="215" t="n">
        <x:v>0.8204912047098233</x:v>
      </x:c>
      <x:c r="L18" s="215" t="n">
        <x:v>0.7804237484543807</x:v>
      </x:c>
      <x:c r="M18" s="215" t="n">
        <x:v>0.8208225182184128</x:v>
      </x:c>
      <x:c r="N18" s="215" t="n">
        <x:v>1.0159389045634517</x:v>
      </x:c>
      <x:c r="O18" s="194" t="str">
        <x:f>IF(AND(F18&lt;=0.005,I18&gt;=0.95,N18&gt;=0.8,N18&lt;=1.2),"PASS","REVIEW")</x:f>
        <x:v>PASS</x:v>
      </x:c>
      <x:c r="P18" s="167"/>
      <x:c r="Q18" s="167"/>
      <x:c r="R18" s="167"/>
      <x:c r="S18" s="167"/>
      <x:c r="T18" s="167"/>
      <x:c r="U18" s="167"/>
    </x:row>
    <x:row r="19" ht="15" hidden="0" customHeight="1">
      <x:c r="A19" s="176" t="str">
        <x:v>Primary composite score</x:v>
      </x:c>
      <x:c r="B19" s="192" t="str">
        <x:v>Claude Haiku 4.5</x:v>
      </x:c>
      <x:c r="C19" s="215" t="n">
        <x:v>0.7395858843620844</x:v>
      </x:c>
      <x:c r="D19" s="215" t="n">
        <x:v>0.7398011341630704</x:v>
      </x:c>
      <x:c r="E19" s="215" t="n">
        <x:v>-0.00021524980098595992</x:v>
      </x:c>
      <x:c r="F19" s="215" t="n">
        <x:v>0.00046582321256538774</x:v>
      </x:c>
      <x:c r="G19" s="215" t="n">
        <x:v>0.0005917557660107608</x:v>
      </x:c>
      <x:c r="H19" s="215" t="n">
        <x:v>0.001538354955106902</x:v>
      </x:c>
      <x:c r="I19" s="215" t="n">
        <x:v>0.9988339807200298</x:v>
      </x:c>
      <x:c r="J19" s="215" t="n">
        <x:v>0.7194904835209323</x:v>
      </x:c>
      <x:c r="K19" s="215" t="n">
        <x:v>0.7608801460431482</x:v>
      </x:c>
      <x:c r="L19" s="215" t="n">
        <x:v>0.7201329554546784</x:v>
      </x:c>
      <x:c r="M19" s="215" t="n">
        <x:v>0.7621225601577862</x:v>
      </x:c>
      <x:c r="N19" s="215" t="n">
        <x:v>0.9857121260099057</x:v>
      </x:c>
      <x:c r="O19" s="194" t="str">
        <x:f>IF(AND(F19&lt;=0.005,I19&gt;=0.95,N19&gt;=0.8,N19&lt;=1.2),"PASS","REVIEW")</x:f>
        <x:v>PASS</x:v>
      </x:c>
      <x:c r="P19" s="167"/>
      <x:c r="Q19" s="167"/>
      <x:c r="R19" s="167"/>
      <x:c r="S19" s="167"/>
      <x:c r="T19" s="167"/>
      <x:c r="U19" s="167"/>
    </x:row>
    <x:row r="20" ht="15" hidden="0" customHeight="1">
      <x:c r="A20" s="183" t="str">
        <x:v>Primary composite score</x:v>
      </x:c>
      <x:c r="B20" s="195" t="str">
        <x:v>Llama 3.1-8B</x:v>
      </x:c>
      <x:c r="C20" s="217" t="n">
        <x:v>0.6178618837107903</x:v>
      </x:c>
      <x:c r="D20" s="217" t="n">
        <x:v>0.6180654752056791</x:v>
      </x:c>
      <x:c r="E20" s="217" t="n">
        <x:v>-0.00020359149488876293</x:v>
      </x:c>
      <x:c r="F20" s="217" t="n">
        <x:v>0.0005117691730778584</x:v>
      </x:c>
      <x:c r="G20" s="217" t="n">
        <x:v>0.0006650336156786257</x:v>
      </x:c>
      <x:c r="H20" s="217" t="n">
        <x:v>0.0017440474195654643</x:v>
      </x:c>
      <x:c r="I20" s="217" t="n">
        <x:v>0.9988090562668562</x:v>
      </x:c>
      <x:c r="J20" s="217" t="n">
        <x:v>0.5940466020644004</x:v>
      </x:c>
      <x:c r="K20" s="217" t="n">
        <x:v>0.6426514427855398</x:v>
      </x:c>
      <x:c r="L20" s="217" t="n">
        <x:v>0.5947375179100863</x:v>
      </x:c>
      <x:c r="M20" s="217" t="n">
        <x:v>0.6440114543232508</x:v>
      </x:c>
      <x:c r="N20" s="217" t="n">
        <x:v>0.9864209003637397</x:v>
      </x:c>
      <x:c r="O20" s="197" t="str">
        <x:f>IF(AND(F20&lt;=0.005,I20&gt;=0.95,N20&gt;=0.8,N20&lt;=1.2),"PASS","REVIEW")</x:f>
        <x:v>PASS</x:v>
      </x:c>
      <x:c r="P20" s="167"/>
      <x:c r="Q20" s="167"/>
      <x:c r="R20" s="167"/>
      <x:c r="S20" s="167"/>
      <x:c r="T20" s="167"/>
      <x:c r="U20" s="167"/>
    </x:row>
    <x:row r="21"/>
    <x:row r="22"/>
    <x:row r="23"/>
    <x:row r="24"/>
    <x:row r="25"/>
    <x:row r="26"/>
    <x:row r="27"/>
    <x:row r="28"/>
  </x:sheetData>
  <x:mergeCells>
    <x:mergeCell ref="A1:N1"/>
    <x:mergeCell ref="A2:N2"/>
  </x:mergeCells>
  <x:conditionalFormatting sqref="O5:O20">
    <x:cfRule type="containsText" dxfId="4" priority="1" operator="containsText" text="PASS"/>
  </x:conditionalFormatting>
  <x:pageMargins left="0.7" right="0.7" top="0.75" bottom="0.75" header="0.3" footer="0.3"/>
  <x:drawing xmlns:r="http://schemas.openxmlformats.org/officeDocument/2006/relationships" r:id="R28bbcb88d77640b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4" hidden="0" customWidth="1"/>
    <x:col min="4" max="4" width="24" hidden="0" customWidth="1"/>
    <x:col min="5" max="5" width="18" hidden="0" customWidth="1"/>
  </x:cols>
  <x:sheetData>
    <x:row r="1" ht="21.600000381469727" hidden="0" customHeight="1">
      <x:c r="A1" s="165" t="str">
        <x:v>Alternative-score rank validation</x:v>
      </x:c>
      <x:c r="B1" s="165" t="str">
        <x:v>Alternative-score rank validation</x:v>
      </x:c>
      <x:c r="C1" s="165" t="str">
        <x:v>Alternative-score rank validation</x:v>
      </x:c>
      <x:c r="D1" s="165" t="str">
        <x:v>Alternative-score rank validation</x:v>
      </x:c>
      <x:c r="E1" s="165" t="str">
        <x:v>Alternative-score rank validation</x:v>
      </x:c>
    </x:row>
    <x:row r="2" ht="15" hidden="0" customHeight="1">
      <x:c r="A2" s="166" t="str">
        <x:v>Exact order agreement between one-step and complete refits across the same 200 bootstrap samples.</x:v>
      </x:c>
      <x:c r="B2" s="166" t="str">
        <x:v>Exact order agreement between one-step and complete refits across the same 200 bootstrap samples.</x:v>
      </x:c>
      <x:c r="C2" s="166" t="str">
        <x:v>Exact order agreement between one-step and complete refits across the same 200 bootstrap samples.</x:v>
      </x:c>
      <x:c r="D2" s="166" t="str">
        <x:v>Exact order agreement between one-step and complete refits across the same 200 bootstrap samples.</x:v>
      </x:c>
      <x:c r="E2" s="166" t="str">
        <x:v>Exact order agreement between one-step and complete refits across the same 200 bootstrap samples.</x:v>
      </x:c>
    </x:row>
    <x:row r="3" ht="15" hidden="0" customHeight="1">
      <x:c r="A3" s="167"/>
      <x:c r="B3" s="167"/>
      <x:c r="C3" s="167"/>
      <x:c r="D3" s="167"/>
      <x:c r="E3" s="167"/>
    </x:row>
    <x:row r="4" ht="15" hidden="0" customHeight="1">
      <x:c r="A4" s="168" t="str">
        <x:v>Score definition</x:v>
      </x:c>
      <x:c r="B4" s="188" t="str">
        <x:v>Exact agreement</x:v>
      </x:c>
      <x:c r="C4" s="188" t="str">
        <x:v>One-step reference order</x:v>
      </x:c>
      <x:c r="D4" s="188" t="str">
        <x:v>Full-refit reference order</x:v>
      </x:c>
      <x:c r="E4" s="169" t="str">
        <x:v>Discordant draws</x:v>
      </x:c>
    </x:row>
    <x:row r="5" ht="15" hidden="0" customHeight="1">
      <x:c r="A5" s="171" t="str">
        <x:v>Baseline only</x:v>
      </x:c>
      <x:c r="B5" s="219" t="n">
        <x:v>1</x:v>
      </x:c>
      <x:c r="C5" s="219" t="n">
        <x:v>1</x:v>
      </x:c>
      <x:c r="D5" s="219" t="n">
        <x:v>1</x:v>
      </x:c>
      <x:c r="E5" s="172" t="n">
        <x:v>0</x:v>
      </x:c>
    </x:row>
    <x:row r="6" ht="15" hidden="0" customHeight="1">
      <x:c r="A6" s="176" t="str">
        <x:v>Arithmetic mean</x:v>
      </x:c>
      <x:c r="B6" s="220" t="n">
        <x:v>1</x:v>
      </x:c>
      <x:c r="C6" s="220" t="n">
        <x:v>1</x:v>
      </x:c>
      <x:c r="D6" s="220" t="n">
        <x:v>1</x:v>
      </x:c>
      <x:c r="E6" s="177" t="n">
        <x:v>0</x:v>
      </x:c>
    </x:row>
    <x:row r="7" ht="15" hidden="0" customHeight="1">
      <x:c r="A7" s="176" t="str">
        <x:v>Geometric mean</x:v>
      </x:c>
      <x:c r="B7" s="220" t="n">
        <x:v>1</x:v>
      </x:c>
      <x:c r="C7" s="220" t="n">
        <x:v>1</x:v>
      </x:c>
      <x:c r="D7" s="220" t="n">
        <x:v>1</x:v>
      </x:c>
      <x:c r="E7" s="177" t="n">
        <x:v>0</x:v>
      </x:c>
    </x:row>
    <x:row r="8" ht="15" hidden="0" customHeight="1">
      <x:c r="A8" s="176" t="str">
        <x:v>Worst condition</x:v>
      </x:c>
      <x:c r="B8" s="220" t="n">
        <x:v>1</x:v>
      </x:c>
      <x:c r="C8" s="220" t="n">
        <x:v>1</x:v>
      </x:c>
      <x:c r="D8" s="220" t="n">
        <x:v>1</x:v>
      </x:c>
      <x:c r="E8" s="177" t="n">
        <x:v>0</x:v>
      </x:c>
    </x:row>
    <x:row r="9" ht="15" hidden="0" customHeight="1">
      <x:c r="A9" s="176" t="str">
        <x:v>Multiplicative penalty</x:v>
      </x:c>
      <x:c r="B9" s="220" t="n">
        <x:v>1</x:v>
      </x:c>
      <x:c r="C9" s="220" t="n">
        <x:v>1</x:v>
      </x:c>
      <x:c r="D9" s="220" t="n">
        <x:v>1</x:v>
      </x:c>
      <x:c r="E9" s="177" t="n">
        <x:v>0</x:v>
      </x:c>
    </x:row>
    <x:row r="10" ht="15" hidden="0" customHeight="1">
      <x:c r="A10" s="183" t="str">
        <x:v>Additive penalty</x:v>
      </x:c>
      <x:c r="B10" s="221" t="n">
        <x:v>1</x:v>
      </x:c>
      <x:c r="C10" s="221" t="n">
        <x:v>1</x:v>
      </x:c>
      <x:c r="D10" s="221" t="n">
        <x:v>1</x:v>
      </x:c>
      <x:c r="E10" s="184" t="n">
        <x:v>0</x:v>
      </x:c>
    </x:row>
    <x:row r="11" ht="15" hidden="0" customHeight="1">
      <x:c r="A11" s="167"/>
      <x:c r="B11" s="167"/>
      <x:c r="C11" s="167"/>
      <x:c r="D11" s="167"/>
      <x:c r="E11" s="167"/>
    </x:row>
    <x:row r="12" ht="15" hidden="0" customHeight="1">
      <x:c r="A12" s="170" t="str">
        <x:v>Reference order</x:v>
      </x:c>
      <x:c r="B12" s="170" t="str">
        <x:v>Reference order</x:v>
      </x:c>
      <x:c r="C12" s="170" t="str">
        <x:v>Reference order</x:v>
      </x:c>
      <x:c r="D12" s="170" t="str">
        <x:v>Reference order</x:v>
      </x:c>
      <x:c r="E12" s="170" t="str">
        <x:v>Reference order</x:v>
      </x:c>
    </x:row>
    <x:row r="13">
      <x:c r="A13" s="198" t="str">
        <x:v>GPT-4.1-mini &gt; Qwen2.5-7B &gt; Claude Haiku 4.5 &gt; Llama 3.1-8B was retained by both methods in every validation sample and under all six score definitions.</x:v>
      </x:c>
      <x:c r="B13" s="199" t="str">
        <x:v>GPT-4.1-mini &gt; Qwen2.5-7B &gt; Claude Haiku 4.5 &gt; Llama 3.1-8B was retained by both methods in every validation sample and under all six score definitions.</x:v>
      </x:c>
      <x:c r="C13" s="199" t="str">
        <x:v>GPT-4.1-mini &gt; Qwen2.5-7B &gt; Claude Haiku 4.5 &gt; Llama 3.1-8B was retained by both methods in every validation sample and under all six score definitions.</x:v>
      </x:c>
      <x:c r="D13" s="199" t="str">
        <x:v>GPT-4.1-mini &gt; Qwen2.5-7B &gt; Claude Haiku 4.5 &gt; Llama 3.1-8B was retained by both methods in every validation sample and under all six score definitions.</x:v>
      </x:c>
      <x:c r="E13" s="200" t="str">
        <x:v>GPT-4.1-mini &gt; Qwen2.5-7B &gt; Claude Haiku 4.5 &gt; Llama 3.1-8B was retained by both methods in every validation sample and under all six score definitions.</x:v>
      </x:c>
    </x:row>
    <x:row r="14">
      <x:c r="A14" s="201" t="str">
        <x:v>GPT-4.1-mini &gt; Qwen2.5-7B &gt; Claude Haiku 4.5 &gt; Llama 3.1-8B was retained by both methods in every validation sample and under all six score definitions.</x:v>
      </x:c>
      <x:c r="B14" s="202" t="str">
        <x:v>GPT-4.1-mini &gt; Qwen2.5-7B &gt; Claude Haiku 4.5 &gt; Llama 3.1-8B was retained by both methods in every validation sample and under all six score definitions.</x:v>
      </x:c>
      <x:c r="C14" s="202" t="str">
        <x:v>GPT-4.1-mini &gt; Qwen2.5-7B &gt; Claude Haiku 4.5 &gt; Llama 3.1-8B was retained by both methods in every validation sample and under all six score definitions.</x:v>
      </x:c>
      <x:c r="D14" s="202" t="str">
        <x:v>GPT-4.1-mini &gt; Qwen2.5-7B &gt; Claude Haiku 4.5 &gt; Llama 3.1-8B was retained by both methods in every validation sample and under all six score definitions.</x:v>
      </x:c>
      <x:c r="E14" s="203" t="str">
        <x:v>GPT-4.1-mini &gt; Qwen2.5-7B &gt; Claude Haiku 4.5 &gt; Llama 3.1-8B was retained by both methods in every validation sample and under all six score definitions.</x:v>
      </x:c>
    </x:row>
    <x:row r="15">
      <x:c r="A15" s="204" t="str">
        <x:v>GPT-4.1-mini &gt; Qwen2.5-7B &gt; Claude Haiku 4.5 &gt; Llama 3.1-8B was retained by both methods in every validation sample and under all six score definitions.</x:v>
      </x:c>
      <x:c r="B15" s="205" t="str">
        <x:v>GPT-4.1-mini &gt; Qwen2.5-7B &gt; Claude Haiku 4.5 &gt; Llama 3.1-8B was retained by both methods in every validation sample and under all six score definitions.</x:v>
      </x:c>
      <x:c r="C15" s="205" t="str">
        <x:v>GPT-4.1-mini &gt; Qwen2.5-7B &gt; Claude Haiku 4.5 &gt; Llama 3.1-8B was retained by both methods in every validation sample and under all six score definitions.</x:v>
      </x:c>
      <x:c r="D15" s="205" t="str">
        <x:v>GPT-4.1-mini &gt; Qwen2.5-7B &gt; Claude Haiku 4.5 &gt; Llama 3.1-8B was retained by both methods in every validation sample and under all six score definitions.</x:v>
      </x:c>
      <x:c r="E15" s="206" t="str">
        <x:v>GPT-4.1-mini &gt; Qwen2.5-7B &gt; Claude Haiku 4.5 &gt; Llama 3.1-8B was retained by both methods in every validation sample and under all six score definitions.</x:v>
      </x:c>
    </x:row>
  </x:sheetData>
  <x:mergeCells>
    <x:mergeCell ref="A1:E1"/>
    <x:mergeCell ref="A2:E2"/>
    <x:mergeCell ref="A12:E12"/>
    <x:mergeCell ref="A13:E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52" hidden="0" customWidth="1"/>
    <x:col min="4" max="4" width="18" hidden="0" customWidth="1"/>
    <x:col min="5" max="5" width="18" hidden="0" customWidth="1"/>
    <x:col min="6" max="6" width="14" hidden="0" customWidth="1"/>
  </x:cols>
  <x:sheetData>
    <x:row r="1" ht="21.600000381469727" hidden="0" customHeight="1">
      <x:c r="A1" s="165" t="str">
        <x:v>Complete-refit optimizer diagnostics</x:v>
      </x:c>
      <x:c r="B1" s="165" t="str">
        <x:v>Complete-refit optimizer diagnostics</x:v>
      </x:c>
      <x:c r="C1" s="165" t="str">
        <x:v>Complete-refit optimizer diagnostics</x:v>
      </x:c>
      <x:c r="D1" s="165" t="str">
        <x:v>Complete-refit optimizer diagnostics</x:v>
      </x:c>
      <x:c r="E1" s="165" t="str">
        <x:v>Complete-refit optimizer diagnostics</x:v>
      </x:c>
      <x:c r="F1" s="165" t="str">
        <x:v>Complete-refit optimizer diagnostics</x:v>
      </x:c>
    </x:row>
    <x:row r="2" ht="15" hidden="0" customHeight="1">
      <x:c r="A2" s="166" t="str">
        <x:v>200 complete weighted quadrature-MAP refits using unique response-pattern aggregation.</x:v>
      </x:c>
      <x:c r="B2" s="166" t="str">
        <x:v>200 complete weighted quadrature-MAP refits using unique response-pattern aggregation.</x:v>
      </x:c>
      <x:c r="C2" s="166" t="str">
        <x:v>200 complete weighted quadrature-MAP refits using unique response-pattern aggregation.</x:v>
      </x:c>
      <x:c r="D2" s="166" t="str">
        <x:v>200 complete weighted quadrature-MAP refits using unique response-pattern aggregation.</x:v>
      </x:c>
      <x:c r="E2" s="166" t="str">
        <x:v>200 complete weighted quadrature-MAP refits using unique response-pattern aggregation.</x:v>
      </x:c>
      <x:c r="F2" s="166" t="str">
        <x:v>200 complete weighted quadrature-MAP refits using unique response-pattern aggregation.</x:v>
      </x:c>
    </x:row>
    <x:row r="3" ht="15" hidden="0" customHeight="1">
      <x:c r="A3" s="167"/>
      <x:c r="B3" s="167"/>
      <x:c r="C3" s="167"/>
      <x:c r="D3" s="167"/>
      <x:c r="E3" s="167"/>
      <x:c r="F3" s="167"/>
    </x:row>
    <x:row r="4" ht="15" hidden="0" customHeight="1">
      <x:c r="A4" s="168" t="str">
        <x:v>Iteration</x:v>
      </x:c>
      <x:c r="B4" s="188" t="str">
        <x:v>Accepted</x:v>
      </x:c>
      <x:c r="C4" s="188" t="str">
        <x:v>Optimizer message</x:v>
      </x:c>
      <x:c r="D4" s="188" t="str">
        <x:v>Optimizer iterations</x:v>
      </x:c>
      <x:c r="E4" s="188" t="str">
        <x:v>Max |gradient|</x:v>
      </x:c>
      <x:c r="F4" s="169" t="str">
        <x:v>Item SD</x:v>
      </x:c>
    </x:row>
    <x:row r="5" ht="15" hidden="0" customHeight="1">
      <x:c r="A5" s="171" t="n">
        <x:v>1</x:v>
      </x:c>
      <x:c r="B5" s="222" t="b">
        <x:v>1</x:v>
      </x:c>
      <x:c r="C5" s="189" t="str">
        <x:v>CONVERGENCE: RELATIVE REDUCTION OF F &lt;= FACTR*EPSMCH</x:v>
      </x:c>
      <x:c r="D5" s="190" t="n">
        <x:v>15</x:v>
      </x:c>
      <x:c r="E5" s="190" t="n">
        <x:v>0.029205923961623803</x:v>
      </x:c>
      <x:c r="F5" s="223" t="n">
        <x:v>2.175335333434429</x:v>
      </x:c>
    </x:row>
    <x:row r="6" ht="15" hidden="0" customHeight="1">
      <x:c r="A6" s="176" t="n">
        <x:v>2</x:v>
      </x:c>
      <x:c r="B6" s="224" t="b">
        <x:v>1</x:v>
      </x:c>
      <x:c r="C6" s="192" t="str">
        <x:v>CONVERGENCE: RELATIVE REDUCTION OF F &lt;= FACTR*EPSMCH</x:v>
      </x:c>
      <x:c r="D6" s="193" t="n">
        <x:v>20</x:v>
      </x:c>
      <x:c r="E6" s="193" t="n">
        <x:v>0.018731044658196888</x:v>
      </x:c>
      <x:c r="F6" s="225" t="n">
        <x:v>2.205683845845934</x:v>
      </x:c>
    </x:row>
    <x:row r="7" ht="15" hidden="0" customHeight="1">
      <x:c r="A7" s="176" t="n">
        <x:v>3</x:v>
      </x:c>
      <x:c r="B7" s="224" t="b">
        <x:v>1</x:v>
      </x:c>
      <x:c r="C7" s="192" t="str">
        <x:v>CONVERGENCE: RELATIVE REDUCTION OF F &lt;= FACTR*EPSMCH</x:v>
      </x:c>
      <x:c r="D7" s="193" t="n">
        <x:v>17</x:v>
      </x:c>
      <x:c r="E7" s="193" t="n">
        <x:v>0.020086061829391075</x:v>
      </x:c>
      <x:c r="F7" s="225" t="n">
        <x:v>2.2354741650351726</x:v>
      </x:c>
    </x:row>
    <x:row r="8" ht="15" hidden="0" customHeight="1">
      <x:c r="A8" s="176" t="n">
        <x:v>4</x:v>
      </x:c>
      <x:c r="B8" s="224" t="b">
        <x:v>1</x:v>
      </x:c>
      <x:c r="C8" s="192" t="str">
        <x:v>CONVERGENCE: RELATIVE REDUCTION OF F &lt;= FACTR*EPSMCH</x:v>
      </x:c>
      <x:c r="D8" s="193" t="n">
        <x:v>19</x:v>
      </x:c>
      <x:c r="E8" s="193" t="n">
        <x:v>0.01568914262789123</x:v>
      </x:c>
      <x:c r="F8" s="225" t="n">
        <x:v>2.1966325871035672</x:v>
      </x:c>
    </x:row>
    <x:row r="9" ht="15" hidden="0" customHeight="1">
      <x:c r="A9" s="176" t="n">
        <x:v>5</x:v>
      </x:c>
      <x:c r="B9" s="224" t="b">
        <x:v>1</x:v>
      </x:c>
      <x:c r="C9" s="192" t="str">
        <x:v>CONVERGENCE: RELATIVE REDUCTION OF F &lt;= FACTR*EPSMCH</x:v>
      </x:c>
      <x:c r="D9" s="193" t="n">
        <x:v>18</x:v>
      </x:c>
      <x:c r="E9" s="193" t="n">
        <x:v>0.04695461780783641</x:v>
      </x:c>
      <x:c r="F9" s="225" t="n">
        <x:v>2.20341759282766</x:v>
      </x:c>
    </x:row>
    <x:row r="10" ht="15" hidden="0" customHeight="1">
      <x:c r="A10" s="176" t="n">
        <x:v>6</x:v>
      </x:c>
      <x:c r="B10" s="224" t="b">
        <x:v>1</x:v>
      </x:c>
      <x:c r="C10" s="192" t="str">
        <x:v>CONVERGENCE: RELATIVE REDUCTION OF F &lt;= FACTR*EPSMCH</x:v>
      </x:c>
      <x:c r="D10" s="193" t="n">
        <x:v>16</x:v>
      </x:c>
      <x:c r="E10" s="193" t="n">
        <x:v>0.011419470558996267</x:v>
      </x:c>
      <x:c r="F10" s="225" t="n">
        <x:v>2.2690212720167073</x:v>
      </x:c>
    </x:row>
    <x:row r="11" ht="15" hidden="0" customHeight="1">
      <x:c r="A11" s="176" t="n">
        <x:v>7</x:v>
      </x:c>
      <x:c r="B11" s="224" t="b">
        <x:v>1</x:v>
      </x:c>
      <x:c r="C11" s="192" t="str">
        <x:v>CONVERGENCE: RELATIVE REDUCTION OF F &lt;= FACTR*EPSMCH</x:v>
      </x:c>
      <x:c r="D11" s="193" t="n">
        <x:v>21</x:v>
      </x:c>
      <x:c r="E11" s="193" t="n">
        <x:v>0.02279357842011631</x:v>
      </x:c>
      <x:c r="F11" s="225" t="n">
        <x:v>2.203645597882141</x:v>
      </x:c>
    </x:row>
    <x:row r="12" ht="15" hidden="0" customHeight="1">
      <x:c r="A12" s="176" t="n">
        <x:v>8</x:v>
      </x:c>
      <x:c r="B12" s="224" t="b">
        <x:v>1</x:v>
      </x:c>
      <x:c r="C12" s="192" t="str">
        <x:v>CONVERGENCE: RELATIVE REDUCTION OF F &lt;= FACTR*EPSMCH</x:v>
      </x:c>
      <x:c r="D12" s="193" t="n">
        <x:v>18</x:v>
      </x:c>
      <x:c r="E12" s="193" t="n">
        <x:v>0.025535819316390262</x:v>
      </x:c>
      <x:c r="F12" s="225" t="n">
        <x:v>2.2640257792147835</x:v>
      </x:c>
    </x:row>
    <x:row r="13" ht="15" hidden="0" customHeight="1">
      <x:c r="A13" s="176" t="n">
        <x:v>9</x:v>
      </x:c>
      <x:c r="B13" s="224" t="b">
        <x:v>1</x:v>
      </x:c>
      <x:c r="C13" s="192" t="str">
        <x:v>CONVERGENCE: RELATIVE REDUCTION OF F &lt;= FACTR*EPSMCH</x:v>
      </x:c>
      <x:c r="D13" s="193" t="n">
        <x:v>22</x:v>
      </x:c>
      <x:c r="E13" s="193" t="n">
        <x:v>0.025275593974159793</x:v>
      </x:c>
      <x:c r="F13" s="225" t="n">
        <x:v>2.16137230246554</x:v>
      </x:c>
    </x:row>
    <x:row r="14" ht="15" hidden="0" customHeight="1">
      <x:c r="A14" s="176" t="n">
        <x:v>10</x:v>
      </x:c>
      <x:c r="B14" s="224" t="b">
        <x:v>1</x:v>
      </x:c>
      <x:c r="C14" s="192" t="str">
        <x:v>CONVERGENCE: RELATIVE REDUCTION OF F &lt;= FACTR*EPSMCH</x:v>
      </x:c>
      <x:c r="D14" s="193" t="n">
        <x:v>17</x:v>
      </x:c>
      <x:c r="E14" s="193" t="n">
        <x:v>0.032199093589027075</x:v>
      </x:c>
      <x:c r="F14" s="225" t="n">
        <x:v>2.2424758747569005</x:v>
      </x:c>
    </x:row>
    <x:row r="15" ht="15" hidden="0" customHeight="1">
      <x:c r="A15" s="176" t="n">
        <x:v>11</x:v>
      </x:c>
      <x:c r="B15" s="224" t="b">
        <x:v>1</x:v>
      </x:c>
      <x:c r="C15" s="192" t="str">
        <x:v>CONVERGENCE: RELATIVE REDUCTION OF F &lt;= FACTR*EPSMCH</x:v>
      </x:c>
      <x:c r="D15" s="193" t="n">
        <x:v>16</x:v>
      </x:c>
      <x:c r="E15" s="193" t="n">
        <x:v>0.018387885475567023</x:v>
      </x:c>
      <x:c r="F15" s="225" t="n">
        <x:v>2.259814285428744</x:v>
      </x:c>
    </x:row>
    <x:row r="16" ht="15" hidden="0" customHeight="1">
      <x:c r="A16" s="176" t="n">
        <x:v>12</x:v>
      </x:c>
      <x:c r="B16" s="224" t="b">
        <x:v>1</x:v>
      </x:c>
      <x:c r="C16" s="192" t="str">
        <x:v>CONVERGENCE: RELATIVE REDUCTION OF F &lt;= FACTR*EPSMCH</x:v>
      </x:c>
      <x:c r="D16" s="193" t="n">
        <x:v>17</x:v>
      </x:c>
      <x:c r="E16" s="193" t="n">
        <x:v>0.019258818077035667</x:v>
      </x:c>
      <x:c r="F16" s="225" t="n">
        <x:v>2.231080309421459</x:v>
      </x:c>
    </x:row>
    <x:row r="17" ht="15" hidden="0" customHeight="1">
      <x:c r="A17" s="176" t="n">
        <x:v>13</x:v>
      </x:c>
      <x:c r="B17" s="224" t="b">
        <x:v>1</x:v>
      </x:c>
      <x:c r="C17" s="192" t="str">
        <x:v>CONVERGENCE: RELATIVE REDUCTION OF F &lt;= FACTR*EPSMCH</x:v>
      </x:c>
      <x:c r="D17" s="193" t="n">
        <x:v>20</x:v>
      </x:c>
      <x:c r="E17" s="193" t="n">
        <x:v>0.05375500623292151</x:v>
      </x:c>
      <x:c r="F17" s="225" t="n">
        <x:v>2.188510473496078</x:v>
      </x:c>
    </x:row>
    <x:row r="18" ht="15" hidden="0" customHeight="1">
      <x:c r="A18" s="176" t="n">
        <x:v>14</x:v>
      </x:c>
      <x:c r="B18" s="224" t="b">
        <x:v>1</x:v>
      </x:c>
      <x:c r="C18" s="192" t="str">
        <x:v>CONVERGENCE: RELATIVE REDUCTION OF F &lt;= FACTR*EPSMCH</x:v>
      </x:c>
      <x:c r="D18" s="193" t="n">
        <x:v>16</x:v>
      </x:c>
      <x:c r="E18" s="193" t="n">
        <x:v>0.040796280639690874</x:v>
      </x:c>
      <x:c r="F18" s="225" t="n">
        <x:v>2.1789473342287615</x:v>
      </x:c>
    </x:row>
    <x:row r="19" ht="15" hidden="0" customHeight="1">
      <x:c r="A19" s="176" t="n">
        <x:v>15</x:v>
      </x:c>
      <x:c r="B19" s="224" t="b">
        <x:v>1</x:v>
      </x:c>
      <x:c r="C19" s="192" t="str">
        <x:v>CONVERGENCE: RELATIVE REDUCTION OF F &lt;= FACTR*EPSMCH</x:v>
      </x:c>
      <x:c r="D19" s="193" t="n">
        <x:v>19</x:v>
      </x:c>
      <x:c r="E19" s="193" t="n">
        <x:v>0.021298314494924177</x:v>
      </x:c>
      <x:c r="F19" s="225" t="n">
        <x:v>2.1817123903286033</x:v>
      </x:c>
    </x:row>
    <x:row r="20" ht="15" hidden="0" customHeight="1">
      <x:c r="A20" s="176" t="n">
        <x:v>16</x:v>
      </x:c>
      <x:c r="B20" s="224" t="b">
        <x:v>1</x:v>
      </x:c>
      <x:c r="C20" s="192" t="str">
        <x:v>CONVERGENCE: RELATIVE REDUCTION OF F &lt;= FACTR*EPSMCH</x:v>
      </x:c>
      <x:c r="D20" s="193" t="n">
        <x:v>19</x:v>
      </x:c>
      <x:c r="E20" s="193" t="n">
        <x:v>0.027268513539487227</x:v>
      </x:c>
      <x:c r="F20" s="225" t="n">
        <x:v>2.253693296727185</x:v>
      </x:c>
    </x:row>
    <x:row r="21" ht="15" hidden="0" customHeight="1">
      <x:c r="A21" s="176" t="n">
        <x:v>17</x:v>
      </x:c>
      <x:c r="B21" s="224" t="b">
        <x:v>1</x:v>
      </x:c>
      <x:c r="C21" s="192" t="str">
        <x:v>CONVERGENCE: RELATIVE REDUCTION OF F &lt;= FACTR*EPSMCH</x:v>
      </x:c>
      <x:c r="D21" s="193" t="n">
        <x:v>17</x:v>
      </x:c>
      <x:c r="E21" s="193" t="n">
        <x:v>0.014600285613249359</x:v>
      </x:c>
      <x:c r="F21" s="225" t="n">
        <x:v>2.1496957735145155</x:v>
      </x:c>
    </x:row>
    <x:row r="22" ht="15" hidden="0" customHeight="1">
      <x:c r="A22" s="176" t="n">
        <x:v>18</x:v>
      </x:c>
      <x:c r="B22" s="224" t="b">
        <x:v>1</x:v>
      </x:c>
      <x:c r="C22" s="192" t="str">
        <x:v>CONVERGENCE: RELATIVE REDUCTION OF F &lt;= FACTR*EPSMCH</x:v>
      </x:c>
      <x:c r="D22" s="193" t="n">
        <x:v>13</x:v>
      </x:c>
      <x:c r="E22" s="193" t="n">
        <x:v>0.01288792323725883</x:v>
      </x:c>
      <x:c r="F22" s="225" t="n">
        <x:v>2.2153595677371545</x:v>
      </x:c>
    </x:row>
    <x:row r="23" ht="15" hidden="0" customHeight="1">
      <x:c r="A23" s="176" t="n">
        <x:v>19</x:v>
      </x:c>
      <x:c r="B23" s="224" t="b">
        <x:v>1</x:v>
      </x:c>
      <x:c r="C23" s="192" t="str">
        <x:v>CONVERGENCE: RELATIVE REDUCTION OF F &lt;= FACTR*EPSMCH</x:v>
      </x:c>
      <x:c r="D23" s="193" t="n">
        <x:v>12</x:v>
      </x:c>
      <x:c r="E23" s="193" t="n">
        <x:v>0.02089730707940962</x:v>
      </x:c>
      <x:c r="F23" s="225" t="n">
        <x:v>2.1901060190529535</x:v>
      </x:c>
    </x:row>
    <x:row r="24" ht="15" hidden="0" customHeight="1">
      <x:c r="A24" s="176" t="n">
        <x:v>20</x:v>
      </x:c>
      <x:c r="B24" s="224" t="b">
        <x:v>1</x:v>
      </x:c>
      <x:c r="C24" s="192" t="str">
        <x:v>CONVERGENCE: RELATIVE REDUCTION OF F &lt;= FACTR*EPSMCH</x:v>
      </x:c>
      <x:c r="D24" s="193" t="n">
        <x:v>20</x:v>
      </x:c>
      <x:c r="E24" s="193" t="n">
        <x:v>0.020897405995984164</x:v>
      </x:c>
      <x:c r="F24" s="225" t="n">
        <x:v>2.1804553423390134</x:v>
      </x:c>
    </x:row>
    <x:row r="25" ht="15" hidden="0" customHeight="1">
      <x:c r="A25" s="176" t="n">
        <x:v>21</x:v>
      </x:c>
      <x:c r="B25" s="224" t="b">
        <x:v>1</x:v>
      </x:c>
      <x:c r="C25" s="192" t="str">
        <x:v>CONVERGENCE: RELATIVE REDUCTION OF F &lt;= FACTR*EPSMCH</x:v>
      </x:c>
      <x:c r="D25" s="193" t="n">
        <x:v>15</x:v>
      </x:c>
      <x:c r="E25" s="193" t="n">
        <x:v>0.03439550370529826</x:v>
      </x:c>
      <x:c r="F25" s="225" t="n">
        <x:v>2.2189142782774316</x:v>
      </x:c>
    </x:row>
    <x:row r="26" ht="15" hidden="0" customHeight="1">
      <x:c r="A26" s="176" t="n">
        <x:v>22</x:v>
      </x:c>
      <x:c r="B26" s="224" t="b">
        <x:v>1</x:v>
      </x:c>
      <x:c r="C26" s="192" t="str">
        <x:v>CONVERGENCE: RELATIVE REDUCTION OF F &lt;= FACTR*EPSMCH</x:v>
      </x:c>
      <x:c r="D26" s="193" t="n">
        <x:v>22</x:v>
      </x:c>
      <x:c r="E26" s="193" t="n">
        <x:v>0.03466473314163826</x:v>
      </x:c>
      <x:c r="F26" s="225" t="n">
        <x:v>2.2282949985618226</x:v>
      </x:c>
    </x:row>
    <x:row r="27" ht="15" hidden="0" customHeight="1">
      <x:c r="A27" s="176" t="n">
        <x:v>23</x:v>
      </x:c>
      <x:c r="B27" s="224" t="b">
        <x:v>1</x:v>
      </x:c>
      <x:c r="C27" s="192" t="str">
        <x:v>CONVERGENCE: RELATIVE REDUCTION OF F &lt;= FACTR*EPSMCH</x:v>
      </x:c>
      <x:c r="D27" s="193" t="n">
        <x:v>18</x:v>
      </x:c>
      <x:c r="E27" s="193" t="n">
        <x:v>0.022657359569666635</x:v>
      </x:c>
      <x:c r="F27" s="225" t="n">
        <x:v>2.1898410296534063</x:v>
      </x:c>
    </x:row>
    <x:row r="28" ht="15" hidden="0" customHeight="1">
      <x:c r="A28" s="176" t="n">
        <x:v>24</x:v>
      </x:c>
      <x:c r="B28" s="224" t="b">
        <x:v>1</x:v>
      </x:c>
      <x:c r="C28" s="192" t="str">
        <x:v>CONVERGENCE: RELATIVE REDUCTION OF F &lt;= FACTR*EPSMCH</x:v>
      </x:c>
      <x:c r="D28" s="193" t="n">
        <x:v>18</x:v>
      </x:c>
      <x:c r="E28" s="193" t="n">
        <x:v>0.012519787923370246</x:v>
      </x:c>
      <x:c r="F28" s="225" t="n">
        <x:v>2.171011736981894</x:v>
      </x:c>
    </x:row>
    <x:row r="29" ht="15" hidden="0" customHeight="1">
      <x:c r="A29" s="176" t="n">
        <x:v>25</x:v>
      </x:c>
      <x:c r="B29" s="224" t="b">
        <x:v>1</x:v>
      </x:c>
      <x:c r="C29" s="192" t="str">
        <x:v>CONVERGENCE: RELATIVE REDUCTION OF F &lt;= FACTR*EPSMCH</x:v>
      </x:c>
      <x:c r="D29" s="193" t="n">
        <x:v>7</x:v>
      </x:c>
      <x:c r="E29" s="193" t="n">
        <x:v>0.03603342174685298</x:v>
      </x:c>
      <x:c r="F29" s="225" t="n">
        <x:v>2.2467809136244097</x:v>
      </x:c>
    </x:row>
    <x:row r="30" ht="15" hidden="0" customHeight="1">
      <x:c r="A30" s="176" t="n">
        <x:v>26</x:v>
      </x:c>
      <x:c r="B30" s="224" t="b">
        <x:v>1</x:v>
      </x:c>
      <x:c r="C30" s="192" t="str">
        <x:v>CONVERGENCE: RELATIVE REDUCTION OF F &lt;= FACTR*EPSMCH</x:v>
      </x:c>
      <x:c r="D30" s="193" t="n">
        <x:v>20</x:v>
      </x:c>
      <x:c r="E30" s="193" t="n">
        <x:v>0.019238046560175026</x:v>
      </x:c>
      <x:c r="F30" s="225" t="n">
        <x:v>2.2000119325350926</x:v>
      </x:c>
    </x:row>
    <x:row r="31" ht="15" hidden="0" customHeight="1">
      <x:c r="A31" s="176" t="n">
        <x:v>27</x:v>
      </x:c>
      <x:c r="B31" s="224" t="b">
        <x:v>1</x:v>
      </x:c>
      <x:c r="C31" s="192" t="str">
        <x:v>CONVERGENCE: RELATIVE REDUCTION OF F &lt;= FACTR*EPSMCH</x:v>
      </x:c>
      <x:c r="D31" s="193" t="n">
        <x:v>17</x:v>
      </x:c>
      <x:c r="E31" s="193" t="n">
        <x:v>0.01657416811119624</x:v>
      </x:c>
      <x:c r="F31" s="225" t="n">
        <x:v>2.2139318030553463</x:v>
      </x:c>
    </x:row>
    <x:row r="32" ht="15" hidden="0" customHeight="1">
      <x:c r="A32" s="176" t="n">
        <x:v>28</x:v>
      </x:c>
      <x:c r="B32" s="224" t="b">
        <x:v>1</x:v>
      </x:c>
      <x:c r="C32" s="192" t="str">
        <x:v>CONVERGENCE: RELATIVE REDUCTION OF F &lt;= FACTR*EPSMCH</x:v>
      </x:c>
      <x:c r="D32" s="193" t="n">
        <x:v>21</x:v>
      </x:c>
      <x:c r="E32" s="193" t="n">
        <x:v>0.01667335161560033</x:v>
      </x:c>
      <x:c r="F32" s="225" t="n">
        <x:v>2.2944509575716507</x:v>
      </x:c>
    </x:row>
    <x:row r="33" ht="15" hidden="0" customHeight="1">
      <x:c r="A33" s="176" t="n">
        <x:v>29</x:v>
      </x:c>
      <x:c r="B33" s="224" t="b">
        <x:v>1</x:v>
      </x:c>
      <x:c r="C33" s="192" t="str">
        <x:v>CONVERGENCE: RELATIVE REDUCTION OF F &lt;= FACTR*EPSMCH</x:v>
      </x:c>
      <x:c r="D33" s="193" t="n">
        <x:v>16</x:v>
      </x:c>
      <x:c r="E33" s="193" t="n">
        <x:v>0.022229532465040336</x:v>
      </x:c>
      <x:c r="F33" s="225" t="n">
        <x:v>2.177757810183164</x:v>
      </x:c>
    </x:row>
    <x:row r="34" ht="15" hidden="0" customHeight="1">
      <x:c r="A34" s="176" t="n">
        <x:v>30</x:v>
      </x:c>
      <x:c r="B34" s="224" t="b">
        <x:v>1</x:v>
      </x:c>
      <x:c r="C34" s="192" t="str">
        <x:v>CONVERGENCE: RELATIVE REDUCTION OF F &lt;= FACTR*EPSMCH</x:v>
      </x:c>
      <x:c r="D34" s="193" t="n">
        <x:v>17</x:v>
      </x:c>
      <x:c r="E34" s="193" t="n">
        <x:v>0.021032148537312056</x:v>
      </x:c>
      <x:c r="F34" s="225" t="n">
        <x:v>2.267674252009534</x:v>
      </x:c>
    </x:row>
    <x:row r="35" ht="15" hidden="0" customHeight="1">
      <x:c r="A35" s="176" t="n">
        <x:v>31</x:v>
      </x:c>
      <x:c r="B35" s="224" t="b">
        <x:v>1</x:v>
      </x:c>
      <x:c r="C35" s="192" t="str">
        <x:v>CONVERGENCE: RELATIVE REDUCTION OF F &lt;= FACTR*EPSMCH</x:v>
      </x:c>
      <x:c r="D35" s="193" t="n">
        <x:v>16</x:v>
      </x:c>
      <x:c r="E35" s="193" t="n">
        <x:v>0.030782599632216634</x:v>
      </x:c>
      <x:c r="F35" s="225" t="n">
        <x:v>2.220406764222901</x:v>
      </x:c>
    </x:row>
    <x:row r="36" ht="15" hidden="0" customHeight="1">
      <x:c r="A36" s="176" t="n">
        <x:v>32</x:v>
      </x:c>
      <x:c r="B36" s="224" t="b">
        <x:v>1</x:v>
      </x:c>
      <x:c r="C36" s="192" t="str">
        <x:v>CONVERGENCE: RELATIVE REDUCTION OF F &lt;= FACTR*EPSMCH</x:v>
      </x:c>
      <x:c r="D36" s="193" t="n">
        <x:v>19</x:v>
      </x:c>
      <x:c r="E36" s="193" t="n">
        <x:v>0.05596953320410389</x:v>
      </x:c>
      <x:c r="F36" s="225" t="n">
        <x:v>2.1802620741466474</x:v>
      </x:c>
    </x:row>
    <x:row r="37" ht="15" hidden="0" customHeight="1">
      <x:c r="A37" s="176" t="n">
        <x:v>33</x:v>
      </x:c>
      <x:c r="B37" s="224" t="b">
        <x:v>1</x:v>
      </x:c>
      <x:c r="C37" s="192" t="str">
        <x:v>CONVERGENCE: RELATIVE REDUCTION OF F &lt;= FACTR*EPSMCH</x:v>
      </x:c>
      <x:c r="D37" s="193" t="n">
        <x:v>14</x:v>
      </x:c>
      <x:c r="E37" s="193" t="n">
        <x:v>0.08073551782039079</x:v>
      </x:c>
      <x:c r="F37" s="225" t="n">
        <x:v>2.146050076298178</x:v>
      </x:c>
    </x:row>
    <x:row r="38" ht="15" hidden="0" customHeight="1">
      <x:c r="A38" s="176" t="n">
        <x:v>34</x:v>
      </x:c>
      <x:c r="B38" s="224" t="b">
        <x:v>1</x:v>
      </x:c>
      <x:c r="C38" s="192" t="str">
        <x:v>CONVERGENCE: RELATIVE REDUCTION OF F &lt;= FACTR*EPSMCH</x:v>
      </x:c>
      <x:c r="D38" s="193" t="n">
        <x:v>16</x:v>
      </x:c>
      <x:c r="E38" s="193" t="n">
        <x:v>0.01601413444243277</x:v>
      </x:c>
      <x:c r="F38" s="225" t="n">
        <x:v>2.210739392420853</x:v>
      </x:c>
    </x:row>
    <x:row r="39" ht="15" hidden="0" customHeight="1">
      <x:c r="A39" s="176" t="n">
        <x:v>35</x:v>
      </x:c>
      <x:c r="B39" s="224" t="b">
        <x:v>1</x:v>
      </x:c>
      <x:c r="C39" s="192" t="str">
        <x:v>CONVERGENCE: RELATIVE REDUCTION OF F &lt;= FACTR*EPSMCH</x:v>
      </x:c>
      <x:c r="D39" s="193" t="n">
        <x:v>15</x:v>
      </x:c>
      <x:c r="E39" s="193" t="n">
        <x:v>0.05191399518708445</x:v>
      </x:c>
      <x:c r="F39" s="225" t="n">
        <x:v>2.2398439828877423</x:v>
      </x:c>
    </x:row>
    <x:row r="40" ht="15" hidden="0" customHeight="1">
      <x:c r="A40" s="176" t="n">
        <x:v>36</x:v>
      </x:c>
      <x:c r="B40" s="224" t="b">
        <x:v>1</x:v>
      </x:c>
      <x:c r="C40" s="192" t="str">
        <x:v>CONVERGENCE: RELATIVE REDUCTION OF F &lt;= FACTR*EPSMCH</x:v>
      </x:c>
      <x:c r="D40" s="193" t="n">
        <x:v>10</x:v>
      </x:c>
      <x:c r="E40" s="193" t="n">
        <x:v>0.0959962379221806</x:v>
      </x:c>
      <x:c r="F40" s="225" t="n">
        <x:v>2.168327930154123</x:v>
      </x:c>
    </x:row>
    <x:row r="41" ht="15" hidden="0" customHeight="1">
      <x:c r="A41" s="176" t="n">
        <x:v>37</x:v>
      </x:c>
      <x:c r="B41" s="224" t="b">
        <x:v>1</x:v>
      </x:c>
      <x:c r="C41" s="192" t="str">
        <x:v>CONVERGENCE: RELATIVE REDUCTION OF F &lt;= FACTR*EPSMCH</x:v>
      </x:c>
      <x:c r="D41" s="193" t="n">
        <x:v>20</x:v>
      </x:c>
      <x:c r="E41" s="193" t="n">
        <x:v>0.019982182990725197</x:v>
      </x:c>
      <x:c r="F41" s="225" t="n">
        <x:v>2.2178195847184856</x:v>
      </x:c>
    </x:row>
    <x:row r="42" ht="15" hidden="0" customHeight="1">
      <x:c r="A42" s="176" t="n">
        <x:v>38</x:v>
      </x:c>
      <x:c r="B42" s="224" t="b">
        <x:v>1</x:v>
      </x:c>
      <x:c r="C42" s="192" t="str">
        <x:v>CONVERGENCE: RELATIVE REDUCTION OF F &lt;= FACTR*EPSMCH</x:v>
      </x:c>
      <x:c r="D42" s="193" t="n">
        <x:v>19</x:v>
      </x:c>
      <x:c r="E42" s="193" t="n">
        <x:v>0.05052569330051426</x:v>
      </x:c>
      <x:c r="F42" s="225" t="n">
        <x:v>2.2558554674692046</x:v>
      </x:c>
    </x:row>
    <x:row r="43" ht="15" hidden="0" customHeight="1">
      <x:c r="A43" s="176" t="n">
        <x:v>39</x:v>
      </x:c>
      <x:c r="B43" s="224" t="b">
        <x:v>1</x:v>
      </x:c>
      <x:c r="C43" s="192" t="str">
        <x:v>CONVERGENCE: RELATIVE REDUCTION OF F &lt;= FACTR*EPSMCH</x:v>
      </x:c>
      <x:c r="D43" s="193" t="n">
        <x:v>12</x:v>
      </x:c>
      <x:c r="E43" s="193" t="n">
        <x:v>0.016043428864526144</x:v>
      </x:c>
      <x:c r="F43" s="225" t="n">
        <x:v>2.238490336196392</x:v>
      </x:c>
    </x:row>
    <x:row r="44" ht="15" hidden="0" customHeight="1">
      <x:c r="A44" s="176" t="n">
        <x:v>40</x:v>
      </x:c>
      <x:c r="B44" s="224" t="b">
        <x:v>1</x:v>
      </x:c>
      <x:c r="C44" s="192" t="str">
        <x:v>CONVERGENCE: RELATIVE REDUCTION OF F &lt;= FACTR*EPSMCH</x:v>
      </x:c>
      <x:c r="D44" s="193" t="n">
        <x:v>12</x:v>
      </x:c>
      <x:c r="E44" s="193" t="n">
        <x:v>0.02828068788317195</x:v>
      </x:c>
      <x:c r="F44" s="225" t="n">
        <x:v>2.1851999928731685</x:v>
      </x:c>
    </x:row>
    <x:row r="45" ht="15" hidden="0" customHeight="1">
      <x:c r="A45" s="176" t="n">
        <x:v>41</x:v>
      </x:c>
      <x:c r="B45" s="224" t="b">
        <x:v>1</x:v>
      </x:c>
      <x:c r="C45" s="192" t="str">
        <x:v>CONVERGENCE: RELATIVE REDUCTION OF F &lt;= FACTR*EPSMCH</x:v>
      </x:c>
      <x:c r="D45" s="193" t="n">
        <x:v>11</x:v>
      </x:c>
      <x:c r="E45" s="193" t="n">
        <x:v>0.00871100089272936</x:v>
      </x:c>
      <x:c r="F45" s="225" t="n">
        <x:v>2.1898912773087083</x:v>
      </x:c>
    </x:row>
    <x:row r="46" ht="15" hidden="0" customHeight="1">
      <x:c r="A46" s="176" t="n">
        <x:v>42</x:v>
      </x:c>
      <x:c r="B46" s="224" t="b">
        <x:v>1</x:v>
      </x:c>
      <x:c r="C46" s="192" t="str">
        <x:v>CONVERGENCE: RELATIVE REDUCTION OF F &lt;= FACTR*EPSMCH</x:v>
      </x:c>
      <x:c r="D46" s="193" t="n">
        <x:v>21</x:v>
      </x:c>
      <x:c r="E46" s="193" t="n">
        <x:v>0.03353640129226232</x:v>
      </x:c>
      <x:c r="F46" s="225" t="n">
        <x:v>2.210778560234987</x:v>
      </x:c>
    </x:row>
    <x:row r="47" ht="15" hidden="0" customHeight="1">
      <x:c r="A47" s="176" t="n">
        <x:v>43</x:v>
      </x:c>
      <x:c r="B47" s="224" t="b">
        <x:v>1</x:v>
      </x:c>
      <x:c r="C47" s="192" t="str">
        <x:v>CONVERGENCE: RELATIVE REDUCTION OF F &lt;= FACTR*EPSMCH</x:v>
      </x:c>
      <x:c r="D47" s="193" t="n">
        <x:v>10</x:v>
      </x:c>
      <x:c r="E47" s="193" t="n">
        <x:v>0.016551604173328363</x:v>
      </x:c>
      <x:c r="F47" s="225" t="n">
        <x:v>2.1678647821884396</x:v>
      </x:c>
    </x:row>
    <x:row r="48" ht="15" hidden="0" customHeight="1">
      <x:c r="A48" s="176" t="n">
        <x:v>44</x:v>
      </x:c>
      <x:c r="B48" s="224" t="b">
        <x:v>1</x:v>
      </x:c>
      <x:c r="C48" s="192" t="str">
        <x:v>CONVERGENCE: RELATIVE REDUCTION OF F &lt;= FACTR*EPSMCH</x:v>
      </x:c>
      <x:c r="D48" s="193" t="n">
        <x:v>11</x:v>
      </x:c>
      <x:c r="E48" s="193" t="n">
        <x:v>0.020345300406485564</x:v>
      </x:c>
      <x:c r="F48" s="225" t="n">
        <x:v>2.220020022107762</x:v>
      </x:c>
    </x:row>
    <x:row r="49" ht="15" hidden="0" customHeight="1">
      <x:c r="A49" s="176" t="n">
        <x:v>45</x:v>
      </x:c>
      <x:c r="B49" s="224" t="b">
        <x:v>1</x:v>
      </x:c>
      <x:c r="C49" s="192" t="str">
        <x:v>CONVERGENCE: RELATIVE REDUCTION OF F &lt;= FACTR*EPSMCH</x:v>
      </x:c>
      <x:c r="D49" s="193" t="n">
        <x:v>11</x:v>
      </x:c>
      <x:c r="E49" s="193" t="n">
        <x:v>0.015050544640410973</x:v>
      </x:c>
      <x:c r="F49" s="225" t="n">
        <x:v>2.1853911753230095</x:v>
      </x:c>
    </x:row>
    <x:row r="50" ht="15" hidden="0" customHeight="1">
      <x:c r="A50" s="176" t="n">
        <x:v>46</x:v>
      </x:c>
      <x:c r="B50" s="224" t="b">
        <x:v>1</x:v>
      </x:c>
      <x:c r="C50" s="192" t="str">
        <x:v>CONVERGENCE: RELATIVE REDUCTION OF F &lt;= FACTR*EPSMCH</x:v>
      </x:c>
      <x:c r="D50" s="193" t="n">
        <x:v>17</x:v>
      </x:c>
      <x:c r="E50" s="193" t="n">
        <x:v>0.018806354457659658</x:v>
      </x:c>
      <x:c r="F50" s="225" t="n">
        <x:v>2.165647727752797</x:v>
      </x:c>
    </x:row>
    <x:row r="51" ht="15" hidden="0" customHeight="1">
      <x:c r="A51" s="176" t="n">
        <x:v>47</x:v>
      </x:c>
      <x:c r="B51" s="224" t="b">
        <x:v>1</x:v>
      </x:c>
      <x:c r="C51" s="192" t="str">
        <x:v>CONVERGENCE: RELATIVE REDUCTION OF F &lt;= FACTR*EPSMCH</x:v>
      </x:c>
      <x:c r="D51" s="193" t="n">
        <x:v>19</x:v>
      </x:c>
      <x:c r="E51" s="193" t="n">
        <x:v>0.050007589243101835</x:v>
      </x:c>
      <x:c r="F51" s="225" t="n">
        <x:v>2.1815970646810032</x:v>
      </x:c>
    </x:row>
    <x:row r="52" ht="15" hidden="0" customHeight="1">
      <x:c r="A52" s="176" t="n">
        <x:v>48</x:v>
      </x:c>
      <x:c r="B52" s="224" t="b">
        <x:v>1</x:v>
      </x:c>
      <x:c r="C52" s="192" t="str">
        <x:v>CONVERGENCE: RELATIVE REDUCTION OF F &lt;= FACTR*EPSMCH</x:v>
      </x:c>
      <x:c r="D52" s="193" t="n">
        <x:v>12</x:v>
      </x:c>
      <x:c r="E52" s="193" t="n">
        <x:v>0.013109373271649183</x:v>
      </x:c>
      <x:c r="F52" s="225" t="n">
        <x:v>2.1985507298644977</x:v>
      </x:c>
    </x:row>
    <x:row r="53" ht="15" hidden="0" customHeight="1">
      <x:c r="A53" s="176" t="n">
        <x:v>49</x:v>
      </x:c>
      <x:c r="B53" s="224" t="b">
        <x:v>1</x:v>
      </x:c>
      <x:c r="C53" s="192" t="str">
        <x:v>CONVERGENCE: RELATIVE REDUCTION OF F &lt;= FACTR*EPSMCH</x:v>
      </x:c>
      <x:c r="D53" s="193" t="n">
        <x:v>14</x:v>
      </x:c>
      <x:c r="E53" s="193" t="n">
        <x:v>0.06419187425442141</x:v>
      </x:c>
      <x:c r="F53" s="225" t="n">
        <x:v>2.1835358321675566</x:v>
      </x:c>
    </x:row>
    <x:row r="54" ht="15" hidden="0" customHeight="1">
      <x:c r="A54" s="176" t="n">
        <x:v>50</x:v>
      </x:c>
      <x:c r="B54" s="224" t="b">
        <x:v>1</x:v>
      </x:c>
      <x:c r="C54" s="192" t="str">
        <x:v>CONVERGENCE: RELATIVE REDUCTION OF F &lt;= FACTR*EPSMCH</x:v>
      </x:c>
      <x:c r="D54" s="193" t="n">
        <x:v>8</x:v>
      </x:c>
      <x:c r="E54" s="193" t="n">
        <x:v>0.019570479876302022</x:v>
      </x:c>
      <x:c r="F54" s="225" t="n">
        <x:v>2.2090731207309804</x:v>
      </x:c>
    </x:row>
    <x:row r="55" ht="15" hidden="0" customHeight="1">
      <x:c r="A55" s="176" t="n">
        <x:v>51</x:v>
      </x:c>
      <x:c r="B55" s="224" t="b">
        <x:v>1</x:v>
      </x:c>
      <x:c r="C55" s="192" t="str">
        <x:v>CONVERGENCE: RELATIVE REDUCTION OF F &lt;= FACTR*EPSMCH</x:v>
      </x:c>
      <x:c r="D55" s="193" t="n">
        <x:v>16</x:v>
      </x:c>
      <x:c r="E55" s="193" t="n">
        <x:v>0.00898925874371203</x:v>
      </x:c>
      <x:c r="F55" s="225" t="n">
        <x:v>2.2725854366862857</x:v>
      </x:c>
    </x:row>
    <x:row r="56" ht="15" hidden="0" customHeight="1">
      <x:c r="A56" s="176" t="n">
        <x:v>52</x:v>
      </x:c>
      <x:c r="B56" s="224" t="b">
        <x:v>1</x:v>
      </x:c>
      <x:c r="C56" s="192" t="str">
        <x:v>CONVERGENCE: RELATIVE REDUCTION OF F &lt;= FACTR*EPSMCH</x:v>
      </x:c>
      <x:c r="D56" s="193" t="n">
        <x:v>22</x:v>
      </x:c>
      <x:c r="E56" s="193" t="n">
        <x:v>0.0089385949428884</x:v>
      </x:c>
      <x:c r="F56" s="225" t="n">
        <x:v>2.1267607417582646</x:v>
      </x:c>
    </x:row>
    <x:row r="57" ht="15" hidden="0" customHeight="1">
      <x:c r="A57" s="176" t="n">
        <x:v>53</x:v>
      </x:c>
      <x:c r="B57" s="224" t="b">
        <x:v>1</x:v>
      </x:c>
      <x:c r="C57" s="192" t="str">
        <x:v>CONVERGENCE: RELATIVE REDUCTION OF F &lt;= FACTR*EPSMCH</x:v>
      </x:c>
      <x:c r="D57" s="193" t="n">
        <x:v>11</x:v>
      </x:c>
      <x:c r="E57" s="193" t="n">
        <x:v>0.004899329763655369</x:v>
      </x:c>
      <x:c r="F57" s="225" t="n">
        <x:v>2.2177285463345244</x:v>
      </x:c>
    </x:row>
    <x:row r="58" ht="15" hidden="0" customHeight="1">
      <x:c r="A58" s="176" t="n">
        <x:v>54</x:v>
      </x:c>
      <x:c r="B58" s="224" t="b">
        <x:v>1</x:v>
      </x:c>
      <x:c r="C58" s="192" t="str">
        <x:v>CONVERGENCE: RELATIVE REDUCTION OF F &lt;= FACTR*EPSMCH</x:v>
      </x:c>
      <x:c r="D58" s="193" t="n">
        <x:v>20</x:v>
      </x:c>
      <x:c r="E58" s="193" t="n">
        <x:v>0.0221663706347357</x:v>
      </x:c>
      <x:c r="F58" s="225" t="n">
        <x:v>2.212658639745702</x:v>
      </x:c>
    </x:row>
    <x:row r="59" ht="15" hidden="0" customHeight="1">
      <x:c r="A59" s="176" t="n">
        <x:v>55</x:v>
      </x:c>
      <x:c r="B59" s="224" t="b">
        <x:v>1</x:v>
      </x:c>
      <x:c r="C59" s="192" t="str">
        <x:v>CONVERGENCE: RELATIVE REDUCTION OF F &lt;= FACTR*EPSMCH</x:v>
      </x:c>
      <x:c r="D59" s="193" t="n">
        <x:v>21</x:v>
      </x:c>
      <x:c r="E59" s="193" t="n">
        <x:v>0.035331005218483647</x:v>
      </x:c>
      <x:c r="F59" s="225" t="n">
        <x:v>2.2012980124844694</x:v>
      </x:c>
    </x:row>
    <x:row r="60" ht="15" hidden="0" customHeight="1">
      <x:c r="A60" s="176" t="n">
        <x:v>56</x:v>
      </x:c>
      <x:c r="B60" s="224" t="b">
        <x:v>1</x:v>
      </x:c>
      <x:c r="C60" s="192" t="str">
        <x:v>CONVERGENCE: RELATIVE REDUCTION OF F &lt;= FACTR*EPSMCH</x:v>
      </x:c>
      <x:c r="D60" s="193" t="n">
        <x:v>19</x:v>
      </x:c>
      <x:c r="E60" s="193" t="n">
        <x:v>0.053571323468891485</x:v>
      </x:c>
      <x:c r="F60" s="225" t="n">
        <x:v>2.1768596876845128</x:v>
      </x:c>
    </x:row>
    <x:row r="61" ht="15" hidden="0" customHeight="1">
      <x:c r="A61" s="176" t="n">
        <x:v>57</x:v>
      </x:c>
      <x:c r="B61" s="224" t="b">
        <x:v>1</x:v>
      </x:c>
      <x:c r="C61" s="192" t="str">
        <x:v>CONVERGENCE: RELATIVE REDUCTION OF F &lt;= FACTR*EPSMCH</x:v>
      </x:c>
      <x:c r="D61" s="193" t="n">
        <x:v>22</x:v>
      </x:c>
      <x:c r="E61" s="193" t="n">
        <x:v>0.019029429638899975</x:v>
      </x:c>
      <x:c r="F61" s="225" t="n">
        <x:v>2.237228939662292</x:v>
      </x:c>
    </x:row>
    <x:row r="62" ht="15" hidden="0" customHeight="1">
      <x:c r="A62" s="176" t="n">
        <x:v>58</x:v>
      </x:c>
      <x:c r="B62" s="224" t="b">
        <x:v>1</x:v>
      </x:c>
      <x:c r="C62" s="192" t="str">
        <x:v>CONVERGENCE: RELATIVE REDUCTION OF F &lt;= FACTR*EPSMCH</x:v>
      </x:c>
      <x:c r="D62" s="193" t="n">
        <x:v>9</x:v>
      </x:c>
      <x:c r="E62" s="193" t="n">
        <x:v>0.03764653428391451</x:v>
      </x:c>
      <x:c r="F62" s="225" t="n">
        <x:v>2.2175993950796906</x:v>
      </x:c>
    </x:row>
    <x:row r="63" ht="15" hidden="0" customHeight="1">
      <x:c r="A63" s="176" t="n">
        <x:v>59</x:v>
      </x:c>
      <x:c r="B63" s="224" t="b">
        <x:v>1</x:v>
      </x:c>
      <x:c r="C63" s="192" t="str">
        <x:v>CONVERGENCE: RELATIVE REDUCTION OF F &lt;= FACTR*EPSMCH</x:v>
      </x:c>
      <x:c r="D63" s="193" t="n">
        <x:v>11</x:v>
      </x:c>
      <x:c r="E63" s="193" t="n">
        <x:v>0.020887954002463766</x:v>
      </x:c>
      <x:c r="F63" s="225" t="n">
        <x:v>2.2379589605653996</x:v>
      </x:c>
    </x:row>
    <x:row r="64" ht="15" hidden="0" customHeight="1">
      <x:c r="A64" s="176" t="n">
        <x:v>60</x:v>
      </x:c>
      <x:c r="B64" s="224" t="b">
        <x:v>1</x:v>
      </x:c>
      <x:c r="C64" s="192" t="str">
        <x:v>CONVERGENCE: RELATIVE REDUCTION OF F &lt;= FACTR*EPSMCH</x:v>
      </x:c>
      <x:c r="D64" s="193" t="n">
        <x:v>15</x:v>
      </x:c>
      <x:c r="E64" s="193" t="n">
        <x:v>0.08695282747099942</x:v>
      </x:c>
      <x:c r="F64" s="225" t="n">
        <x:v>2.237879758506524</x:v>
      </x:c>
    </x:row>
    <x:row r="65" ht="15" hidden="0" customHeight="1">
      <x:c r="A65" s="176" t="n">
        <x:v>61</x:v>
      </x:c>
      <x:c r="B65" s="224" t="b">
        <x:v>1</x:v>
      </x:c>
      <x:c r="C65" s="192" t="str">
        <x:v>CONVERGENCE: RELATIVE REDUCTION OF F &lt;= FACTR*EPSMCH</x:v>
      </x:c>
      <x:c r="D65" s="193" t="n">
        <x:v>18</x:v>
      </x:c>
      <x:c r="E65" s="193" t="n">
        <x:v>0.019477936941608275</x:v>
      </x:c>
      <x:c r="F65" s="225" t="n">
        <x:v>2.172283658937316</x:v>
      </x:c>
    </x:row>
    <x:row r="66" ht="15" hidden="0" customHeight="1">
      <x:c r="A66" s="176" t="n">
        <x:v>62</x:v>
      </x:c>
      <x:c r="B66" s="224" t="b">
        <x:v>1</x:v>
      </x:c>
      <x:c r="C66" s="192" t="str">
        <x:v>CONVERGENCE: RELATIVE REDUCTION OF F &lt;= FACTR*EPSMCH</x:v>
      </x:c>
      <x:c r="D66" s="193" t="n">
        <x:v>18</x:v>
      </x:c>
      <x:c r="E66" s="193" t="n">
        <x:v>0.019138124702037084</x:v>
      </x:c>
      <x:c r="F66" s="225" t="n">
        <x:v>2.2076827105136143</x:v>
      </x:c>
    </x:row>
    <x:row r="67" ht="15" hidden="0" customHeight="1">
      <x:c r="A67" s="176" t="n">
        <x:v>63</x:v>
      </x:c>
      <x:c r="B67" s="224" t="b">
        <x:v>1</x:v>
      </x:c>
      <x:c r="C67" s="192" t="str">
        <x:v>CONVERGENCE: RELATIVE REDUCTION OF F &lt;= FACTR*EPSMCH</x:v>
      </x:c>
      <x:c r="D67" s="193" t="n">
        <x:v>15</x:v>
      </x:c>
      <x:c r="E67" s="193" t="n">
        <x:v>0.19214554702351228</x:v>
      </x:c>
      <x:c r="F67" s="225" t="n">
        <x:v>2.1850742670064007</x:v>
      </x:c>
    </x:row>
    <x:row r="68" ht="15" hidden="0" customHeight="1">
      <x:c r="A68" s="176" t="n">
        <x:v>64</x:v>
      </x:c>
      <x:c r="B68" s="224" t="b">
        <x:v>1</x:v>
      </x:c>
      <x:c r="C68" s="192" t="str">
        <x:v>CONVERGENCE: RELATIVE REDUCTION OF F &lt;= FACTR*EPSMCH</x:v>
      </x:c>
      <x:c r="D68" s="193" t="n">
        <x:v>18</x:v>
      </x:c>
      <x:c r="E68" s="193" t="n">
        <x:v>0.016047778220296932</x:v>
      </x:c>
      <x:c r="F68" s="225" t="n">
        <x:v>2.2270520129950424</x:v>
      </x:c>
    </x:row>
    <x:row r="69" ht="15" hidden="0" customHeight="1">
      <x:c r="A69" s="176" t="n">
        <x:v>65</x:v>
      </x:c>
      <x:c r="B69" s="224" t="b">
        <x:v>1</x:v>
      </x:c>
      <x:c r="C69" s="192" t="str">
        <x:v>CONVERGENCE: RELATIVE REDUCTION OF F &lt;= FACTR*EPSMCH</x:v>
      </x:c>
      <x:c r="D69" s="193" t="n">
        <x:v>22</x:v>
      </x:c>
      <x:c r="E69" s="193" t="n">
        <x:v>0.024023105979038645</x:v>
      </x:c>
      <x:c r="F69" s="225" t="n">
        <x:v>2.188259853424268</x:v>
      </x:c>
    </x:row>
    <x:row r="70" ht="15" hidden="0" customHeight="1">
      <x:c r="A70" s="176" t="n">
        <x:v>66</x:v>
      </x:c>
      <x:c r="B70" s="224" t="b">
        <x:v>1</x:v>
      </x:c>
      <x:c r="C70" s="192" t="str">
        <x:v>CONVERGENCE: RELATIVE REDUCTION OF F &lt;= FACTR*EPSMCH</x:v>
      </x:c>
      <x:c r="D70" s="193" t="n">
        <x:v>19</x:v>
      </x:c>
      <x:c r="E70" s="193" t="n">
        <x:v>0.0411152239027099</x:v>
      </x:c>
      <x:c r="F70" s="225" t="n">
        <x:v>2.247498330111935</x:v>
      </x:c>
    </x:row>
    <x:row r="71" ht="15" hidden="0" customHeight="1">
      <x:c r="A71" s="176" t="n">
        <x:v>67</x:v>
      </x:c>
      <x:c r="B71" s="224" t="b">
        <x:v>1</x:v>
      </x:c>
      <x:c r="C71" s="192" t="str">
        <x:v>CONVERGENCE: RELATIVE REDUCTION OF F &lt;= FACTR*EPSMCH</x:v>
      </x:c>
      <x:c r="D71" s="193" t="n">
        <x:v>19</x:v>
      </x:c>
      <x:c r="E71" s="193" t="n">
        <x:v>0.030506938413217943</x:v>
      </x:c>
      <x:c r="F71" s="225" t="n">
        <x:v>2.1544163524409337</x:v>
      </x:c>
    </x:row>
    <x:row r="72" ht="15" hidden="0" customHeight="1">
      <x:c r="A72" s="176" t="n">
        <x:v>68</x:v>
      </x:c>
      <x:c r="B72" s="224" t="b">
        <x:v>1</x:v>
      </x:c>
      <x:c r="C72" s="192" t="str">
        <x:v>CONVERGENCE: RELATIVE REDUCTION OF F &lt;= FACTR*EPSMCH</x:v>
      </x:c>
      <x:c r="D72" s="193" t="n">
        <x:v>23</x:v>
      </x:c>
      <x:c r="E72" s="193" t="n">
        <x:v>0.11093570776183695</x:v>
      </x:c>
      <x:c r="F72" s="225" t="n">
        <x:v>2.258470199486946</x:v>
      </x:c>
    </x:row>
    <x:row r="73" ht="15" hidden="0" customHeight="1">
      <x:c r="A73" s="176" t="n">
        <x:v>69</x:v>
      </x:c>
      <x:c r="B73" s="224" t="b">
        <x:v>1</x:v>
      </x:c>
      <x:c r="C73" s="192" t="str">
        <x:v>CONVERGENCE: RELATIVE REDUCTION OF F &lt;= FACTR*EPSMCH</x:v>
      </x:c>
      <x:c r="D73" s="193" t="n">
        <x:v>16</x:v>
      </x:c>
      <x:c r="E73" s="193" t="n">
        <x:v>0.016610879252776486</x:v>
      </x:c>
      <x:c r="F73" s="225" t="n">
        <x:v>2.1926272601051924</x:v>
      </x:c>
    </x:row>
    <x:row r="74" ht="15" hidden="0" customHeight="1">
      <x:c r="A74" s="176" t="n">
        <x:v>70</x:v>
      </x:c>
      <x:c r="B74" s="224" t="b">
        <x:v>1</x:v>
      </x:c>
      <x:c r="C74" s="192" t="str">
        <x:v>CONVERGENCE: RELATIVE REDUCTION OF F &lt;= FACTR*EPSMCH</x:v>
      </x:c>
      <x:c r="D74" s="193" t="n">
        <x:v>15</x:v>
      </x:c>
      <x:c r="E74" s="193" t="n">
        <x:v>0.030974333966616086</x:v>
      </x:c>
      <x:c r="F74" s="225" t="n">
        <x:v>2.1936121283921435</x:v>
      </x:c>
    </x:row>
    <x:row r="75" ht="15" hidden="0" customHeight="1">
      <x:c r="A75" s="176" t="n">
        <x:v>71</x:v>
      </x:c>
      <x:c r="B75" s="224" t="b">
        <x:v>1</x:v>
      </x:c>
      <x:c r="C75" s="192" t="str">
        <x:v>CONVERGENCE: RELATIVE REDUCTION OF F &lt;= FACTR*EPSMCH</x:v>
      </x:c>
      <x:c r="D75" s="193" t="n">
        <x:v>15</x:v>
      </x:c>
      <x:c r="E75" s="193" t="n">
        <x:v>0.03315499643794764</x:v>
      </x:c>
      <x:c r="F75" s="225" t="n">
        <x:v>2.190700006655066</x:v>
      </x:c>
    </x:row>
    <x:row r="76" ht="15" hidden="0" customHeight="1">
      <x:c r="A76" s="176" t="n">
        <x:v>72</x:v>
      </x:c>
      <x:c r="B76" s="224" t="b">
        <x:v>1</x:v>
      </x:c>
      <x:c r="C76" s="192" t="str">
        <x:v>CONVERGENCE: RELATIVE REDUCTION OF F &lt;= FACTR*EPSMCH</x:v>
      </x:c>
      <x:c r="D76" s="193" t="n">
        <x:v>18</x:v>
      </x:c>
      <x:c r="E76" s="193" t="n">
        <x:v>0.02753131270836892</x:v>
      </x:c>
      <x:c r="F76" s="225" t="n">
        <x:v>2.14701550475086</x:v>
      </x:c>
    </x:row>
    <x:row r="77" ht="15" hidden="0" customHeight="1">
      <x:c r="A77" s="176" t="n">
        <x:v>73</x:v>
      </x:c>
      <x:c r="B77" s="224" t="b">
        <x:v>1</x:v>
      </x:c>
      <x:c r="C77" s="192" t="str">
        <x:v>CONVERGENCE: RELATIVE REDUCTION OF F &lt;= FACTR*EPSMCH</x:v>
      </x:c>
      <x:c r="D77" s="193" t="n">
        <x:v>18</x:v>
      </x:c>
      <x:c r="E77" s="193" t="n">
        <x:v>0.01560814480307185</x:v>
      </x:c>
      <x:c r="F77" s="225" t="n">
        <x:v>2.2187423299490447</x:v>
      </x:c>
    </x:row>
    <x:row r="78" ht="15" hidden="0" customHeight="1">
      <x:c r="A78" s="176" t="n">
        <x:v>74</x:v>
      </x:c>
      <x:c r="B78" s="224" t="b">
        <x:v>1</x:v>
      </x:c>
      <x:c r="C78" s="192" t="str">
        <x:v>CONVERGENCE: RELATIVE REDUCTION OF F &lt;= FACTR*EPSMCH</x:v>
      </x:c>
      <x:c r="D78" s="193" t="n">
        <x:v>24</x:v>
      </x:c>
      <x:c r="E78" s="193" t="n">
        <x:v>0.05548989002593485</x:v>
      </x:c>
      <x:c r="F78" s="225" t="n">
        <x:v>2.142049906396484</x:v>
      </x:c>
    </x:row>
    <x:row r="79" ht="15" hidden="0" customHeight="1">
      <x:c r="A79" s="176" t="n">
        <x:v>75</x:v>
      </x:c>
      <x:c r="B79" s="224" t="b">
        <x:v>1</x:v>
      </x:c>
      <x:c r="C79" s="192" t="str">
        <x:v>CONVERGENCE: RELATIVE REDUCTION OF F &lt;= FACTR*EPSMCH</x:v>
      </x:c>
      <x:c r="D79" s="193" t="n">
        <x:v>21</x:v>
      </x:c>
      <x:c r="E79" s="193" t="n">
        <x:v>0.01457111536698541</x:v>
      </x:c>
      <x:c r="F79" s="225" t="n">
        <x:v>2.1646837259326333</x:v>
      </x:c>
    </x:row>
    <x:row r="80" ht="15" hidden="0" customHeight="1">
      <x:c r="A80" s="176" t="n">
        <x:v>76</x:v>
      </x:c>
      <x:c r="B80" s="224" t="b">
        <x:v>1</x:v>
      </x:c>
      <x:c r="C80" s="192" t="str">
        <x:v>CONVERGENCE: RELATIVE REDUCTION OF F &lt;= FACTR*EPSMCH</x:v>
      </x:c>
      <x:c r="D80" s="193" t="n">
        <x:v>10</x:v>
      </x:c>
      <x:c r="E80" s="193" t="n">
        <x:v>0.024441112929459496</x:v>
      </x:c>
      <x:c r="F80" s="225" t="n">
        <x:v>2.178430483039108</x:v>
      </x:c>
    </x:row>
    <x:row r="81" ht="15" hidden="0" customHeight="1">
      <x:c r="A81" s="176" t="n">
        <x:v>77</x:v>
      </x:c>
      <x:c r="B81" s="224" t="b">
        <x:v>1</x:v>
      </x:c>
      <x:c r="C81" s="192" t="str">
        <x:v>CONVERGENCE: RELATIVE REDUCTION OF F &lt;= FACTR*EPSMCH</x:v>
      </x:c>
      <x:c r="D81" s="193" t="n">
        <x:v>18</x:v>
      </x:c>
      <x:c r="E81" s="193" t="n">
        <x:v>0.03550428764852853</x:v>
      </x:c>
      <x:c r="F81" s="225" t="n">
        <x:v>2.246521406946262</x:v>
      </x:c>
    </x:row>
    <x:row r="82" ht="15" hidden="0" customHeight="1">
      <x:c r="A82" s="176" t="n">
        <x:v>78</x:v>
      </x:c>
      <x:c r="B82" s="224" t="b">
        <x:v>1</x:v>
      </x:c>
      <x:c r="C82" s="192" t="str">
        <x:v>CONVERGENCE: RELATIVE REDUCTION OF F &lt;= FACTR*EPSMCH</x:v>
      </x:c>
      <x:c r="D82" s="193" t="n">
        <x:v>16</x:v>
      </x:c>
      <x:c r="E82" s="193" t="n">
        <x:v>0.017724738401437512</x:v>
      </x:c>
      <x:c r="F82" s="225" t="n">
        <x:v>2.2261999481388286</x:v>
      </x:c>
    </x:row>
    <x:row r="83" ht="15" hidden="0" customHeight="1">
      <x:c r="A83" s="176" t="n">
        <x:v>79</x:v>
      </x:c>
      <x:c r="B83" s="224" t="b">
        <x:v>1</x:v>
      </x:c>
      <x:c r="C83" s="192" t="str">
        <x:v>CONVERGENCE: RELATIVE REDUCTION OF F &lt;= FACTR*EPSMCH</x:v>
      </x:c>
      <x:c r="D83" s="193" t="n">
        <x:v>17</x:v>
      </x:c>
      <x:c r="E83" s="193" t="n">
        <x:v>0.032980211571830245</x:v>
      </x:c>
      <x:c r="F83" s="225" t="n">
        <x:v>2.209224491864697</x:v>
      </x:c>
    </x:row>
    <x:row r="84" ht="15" hidden="0" customHeight="1">
      <x:c r="A84" s="176" t="n">
        <x:v>80</x:v>
      </x:c>
      <x:c r="B84" s="224" t="b">
        <x:v>1</x:v>
      </x:c>
      <x:c r="C84" s="192" t="str">
        <x:v>CONVERGENCE: RELATIVE REDUCTION OF F &lt;= FACTR*EPSMCH</x:v>
      </x:c>
      <x:c r="D84" s="193" t="n">
        <x:v>19</x:v>
      </x:c>
      <x:c r="E84" s="193" t="n">
        <x:v>0.014964291602990204</x:v>
      </x:c>
      <x:c r="F84" s="225" t="n">
        <x:v>2.2457443569585793</x:v>
      </x:c>
    </x:row>
    <x:row r="85" ht="15" hidden="0" customHeight="1">
      <x:c r="A85" s="176" t="n">
        <x:v>81</x:v>
      </x:c>
      <x:c r="B85" s="224" t="b">
        <x:v>1</x:v>
      </x:c>
      <x:c r="C85" s="192" t="str">
        <x:v>CONVERGENCE: RELATIVE REDUCTION OF F &lt;= FACTR*EPSMCH</x:v>
      </x:c>
      <x:c r="D85" s="193" t="n">
        <x:v>11</x:v>
      </x:c>
      <x:c r="E85" s="193" t="n">
        <x:v>0.019022332950211107</x:v>
      </x:c>
      <x:c r="F85" s="225" t="n">
        <x:v>2.1676056990657955</x:v>
      </x:c>
    </x:row>
    <x:row r="86" ht="15" hidden="0" customHeight="1">
      <x:c r="A86" s="176" t="n">
        <x:v>82</x:v>
      </x:c>
      <x:c r="B86" s="224" t="b">
        <x:v>1</x:v>
      </x:c>
      <x:c r="C86" s="192" t="str">
        <x:v>CONVERGENCE: RELATIVE REDUCTION OF F &lt;= FACTR*EPSMCH</x:v>
      </x:c>
      <x:c r="D86" s="193" t="n">
        <x:v>23</x:v>
      </x:c>
      <x:c r="E86" s="193" t="n">
        <x:v>0.011416161147564906</x:v>
      </x:c>
      <x:c r="F86" s="225" t="n">
        <x:v>2.2268088995832196</x:v>
      </x:c>
    </x:row>
    <x:row r="87" ht="15" hidden="0" customHeight="1">
      <x:c r="A87" s="176" t="n">
        <x:v>83</x:v>
      </x:c>
      <x:c r="B87" s="224" t="b">
        <x:v>1</x:v>
      </x:c>
      <x:c r="C87" s="192" t="str">
        <x:v>CONVERGENCE: RELATIVE REDUCTION OF F &lt;= FACTR*EPSMCH</x:v>
      </x:c>
      <x:c r="D87" s="193" t="n">
        <x:v>19</x:v>
      </x:c>
      <x:c r="E87" s="193" t="n">
        <x:v>0.06578767018068901</x:v>
      </x:c>
      <x:c r="F87" s="225" t="n">
        <x:v>2.2234870227867396</x:v>
      </x:c>
    </x:row>
    <x:row r="88" ht="15" hidden="0" customHeight="1">
      <x:c r="A88" s="176" t="n">
        <x:v>84</x:v>
      </x:c>
      <x:c r="B88" s="224" t="b">
        <x:v>1</x:v>
      </x:c>
      <x:c r="C88" s="192" t="str">
        <x:v>CONVERGENCE: RELATIVE REDUCTION OF F &lt;= FACTR*EPSMCH</x:v>
      </x:c>
      <x:c r="D88" s="193" t="n">
        <x:v>18</x:v>
      </x:c>
      <x:c r="E88" s="193" t="n">
        <x:v>0.029696966952477144</x:v>
      </x:c>
      <x:c r="F88" s="225" t="n">
        <x:v>2.1891412880411747</x:v>
      </x:c>
    </x:row>
    <x:row r="89" ht="15" hidden="0" customHeight="1">
      <x:c r="A89" s="176" t="n">
        <x:v>85</x:v>
      </x:c>
      <x:c r="B89" s="224" t="b">
        <x:v>1</x:v>
      </x:c>
      <x:c r="C89" s="192" t="str">
        <x:v>CONVERGENCE: RELATIVE REDUCTION OF F &lt;= FACTR*EPSMCH</x:v>
      </x:c>
      <x:c r="D89" s="193" t="n">
        <x:v>16</x:v>
      </x:c>
      <x:c r="E89" s="193" t="n">
        <x:v>0.024733795002112036</x:v>
      </x:c>
      <x:c r="F89" s="225" t="n">
        <x:v>2.1781462087579846</x:v>
      </x:c>
    </x:row>
    <x:row r="90" ht="15" hidden="0" customHeight="1">
      <x:c r="A90" s="176" t="n">
        <x:v>86</x:v>
      </x:c>
      <x:c r="B90" s="224" t="b">
        <x:v>1</x:v>
      </x:c>
      <x:c r="C90" s="192" t="str">
        <x:v>CONVERGENCE: RELATIVE REDUCTION OF F &lt;= FACTR*EPSMCH</x:v>
      </x:c>
      <x:c r="D90" s="193" t="n">
        <x:v>18</x:v>
      </x:c>
      <x:c r="E90" s="193" t="n">
        <x:v>0.03522853971003895</x:v>
      </x:c>
      <x:c r="F90" s="225" t="n">
        <x:v>2.20466130628891</x:v>
      </x:c>
    </x:row>
    <x:row r="91" ht="15" hidden="0" customHeight="1">
      <x:c r="A91" s="176" t="n">
        <x:v>87</x:v>
      </x:c>
      <x:c r="B91" s="224" t="b">
        <x:v>1</x:v>
      </x:c>
      <x:c r="C91" s="192" t="str">
        <x:v>CONVERGENCE: RELATIVE REDUCTION OF F &lt;= FACTR*EPSMCH</x:v>
      </x:c>
      <x:c r="D91" s="193" t="n">
        <x:v>18</x:v>
      </x:c>
      <x:c r="E91" s="193" t="n">
        <x:v>0.08513057673363233</x:v>
      </x:c>
      <x:c r="F91" s="225" t="n">
        <x:v>2.2471936095045764</x:v>
      </x:c>
    </x:row>
    <x:row r="92" ht="15" hidden="0" customHeight="1">
      <x:c r="A92" s="176" t="n">
        <x:v>88</x:v>
      </x:c>
      <x:c r="B92" s="224" t="b">
        <x:v>1</x:v>
      </x:c>
      <x:c r="C92" s="192" t="str">
        <x:v>CONVERGENCE: RELATIVE REDUCTION OF F &lt;= FACTR*EPSMCH</x:v>
      </x:c>
      <x:c r="D92" s="193" t="n">
        <x:v>15</x:v>
      </x:c>
      <x:c r="E92" s="193" t="n">
        <x:v>0.042724434230299035</x:v>
      </x:c>
      <x:c r="F92" s="225" t="n">
        <x:v>2.199176154749922</x:v>
      </x:c>
    </x:row>
    <x:row r="93" ht="15" hidden="0" customHeight="1">
      <x:c r="A93" s="176" t="n">
        <x:v>89</x:v>
      </x:c>
      <x:c r="B93" s="224" t="b">
        <x:v>1</x:v>
      </x:c>
      <x:c r="C93" s="192" t="str">
        <x:v>CONVERGENCE: RELATIVE REDUCTION OF F &lt;= FACTR*EPSMCH</x:v>
      </x:c>
      <x:c r="D93" s="193" t="n">
        <x:v>18</x:v>
      </x:c>
      <x:c r="E93" s="193" t="n">
        <x:v>0.04005603504660858</x:v>
      </x:c>
      <x:c r="F93" s="225" t="n">
        <x:v>2.2028960054338644</x:v>
      </x:c>
    </x:row>
    <x:row r="94" ht="15" hidden="0" customHeight="1">
      <x:c r="A94" s="176" t="n">
        <x:v>90</x:v>
      </x:c>
      <x:c r="B94" s="224" t="b">
        <x:v>1</x:v>
      </x:c>
      <x:c r="C94" s="192" t="str">
        <x:v>CONVERGENCE: RELATIVE REDUCTION OF F &lt;= FACTR*EPSMCH</x:v>
      </x:c>
      <x:c r="D94" s="193" t="n">
        <x:v>18</x:v>
      </x:c>
      <x:c r="E94" s="193" t="n">
        <x:v>0.011540739201127234</x:v>
      </x:c>
      <x:c r="F94" s="225" t="n">
        <x:v>2.2252356330395258</x:v>
      </x:c>
    </x:row>
    <x:row r="95" ht="15" hidden="0" customHeight="1">
      <x:c r="A95" s="176" t="n">
        <x:v>91</x:v>
      </x:c>
      <x:c r="B95" s="224" t="b">
        <x:v>1</x:v>
      </x:c>
      <x:c r="C95" s="192" t="str">
        <x:v>CONVERGENCE: RELATIVE REDUCTION OF F &lt;= FACTR*EPSMCH</x:v>
      </x:c>
      <x:c r="D95" s="193" t="n">
        <x:v>19</x:v>
      </x:c>
      <x:c r="E95" s="193" t="n">
        <x:v>0.01798959016552093</x:v>
      </x:c>
      <x:c r="F95" s="225" t="n">
        <x:v>2.1522586492634503</x:v>
      </x:c>
    </x:row>
    <x:row r="96" ht="15" hidden="0" customHeight="1">
      <x:c r="A96" s="176" t="n">
        <x:v>92</x:v>
      </x:c>
      <x:c r="B96" s="224" t="b">
        <x:v>1</x:v>
      </x:c>
      <x:c r="C96" s="192" t="str">
        <x:v>CONVERGENCE: RELATIVE REDUCTION OF F &lt;= FACTR*EPSMCH</x:v>
      </x:c>
      <x:c r="D96" s="193" t="n">
        <x:v>19</x:v>
      </x:c>
      <x:c r="E96" s="193" t="n">
        <x:v>0.020566973222100174</x:v>
      </x:c>
      <x:c r="F96" s="225" t="n">
        <x:v>2.218823594491513</x:v>
      </x:c>
    </x:row>
    <x:row r="97" ht="15" hidden="0" customHeight="1">
      <x:c r="A97" s="176" t="n">
        <x:v>93</x:v>
      </x:c>
      <x:c r="B97" s="224" t="b">
        <x:v>1</x:v>
      </x:c>
      <x:c r="C97" s="192" t="str">
        <x:v>CONVERGENCE: RELATIVE REDUCTION OF F &lt;= FACTR*EPSMCH</x:v>
      </x:c>
      <x:c r="D97" s="193" t="n">
        <x:v>22</x:v>
      </x:c>
      <x:c r="E97" s="193" t="n">
        <x:v>0.014421059697690475</x:v>
      </x:c>
      <x:c r="F97" s="225" t="n">
        <x:v>2.1892648000328943</x:v>
      </x:c>
    </x:row>
    <x:row r="98" ht="15" hidden="0" customHeight="1">
      <x:c r="A98" s="176" t="n">
        <x:v>94</x:v>
      </x:c>
      <x:c r="B98" s="224" t="b">
        <x:v>1</x:v>
      </x:c>
      <x:c r="C98" s="192" t="str">
        <x:v>CONVERGENCE: RELATIVE REDUCTION OF F &lt;= FACTR*EPSMCH</x:v>
      </x:c>
      <x:c r="D98" s="193" t="n">
        <x:v>13</x:v>
      </x:c>
      <x:c r="E98" s="193" t="n">
        <x:v>0.022167871921350946</x:v>
      </x:c>
      <x:c r="F98" s="225" t="n">
        <x:v>2.1811386801198305</x:v>
      </x:c>
    </x:row>
    <x:row r="99" ht="15" hidden="0" customHeight="1">
      <x:c r="A99" s="176" t="n">
        <x:v>95</x:v>
      </x:c>
      <x:c r="B99" s="224" t="b">
        <x:v>1</x:v>
      </x:c>
      <x:c r="C99" s="192" t="str">
        <x:v>CONVERGENCE: RELATIVE REDUCTION OF F &lt;= FACTR*EPSMCH</x:v>
      </x:c>
      <x:c r="D99" s="193" t="n">
        <x:v>21</x:v>
      </x:c>
      <x:c r="E99" s="193" t="n">
        <x:v>0.005680084475760433</x:v>
      </x:c>
      <x:c r="F99" s="225" t="n">
        <x:v>2.216372129467046</x:v>
      </x:c>
    </x:row>
    <x:row r="100" ht="15" hidden="0" customHeight="1">
      <x:c r="A100" s="176" t="n">
        <x:v>96</x:v>
      </x:c>
      <x:c r="B100" s="224" t="b">
        <x:v>1</x:v>
      </x:c>
      <x:c r="C100" s="192" t="str">
        <x:v>CONVERGENCE: RELATIVE REDUCTION OF F &lt;= FACTR*EPSMCH</x:v>
      </x:c>
      <x:c r="D100" s="193" t="n">
        <x:v>14</x:v>
      </x:c>
      <x:c r="E100" s="193" t="n">
        <x:v>0.04156370905470885</x:v>
      </x:c>
      <x:c r="F100" s="225" t="n">
        <x:v>2.2472255220232853</x:v>
      </x:c>
    </x:row>
    <x:row r="101" ht="15" hidden="0" customHeight="1">
      <x:c r="A101" s="176" t="n">
        <x:v>97</x:v>
      </x:c>
      <x:c r="B101" s="224" t="b">
        <x:v>1</x:v>
      </x:c>
      <x:c r="C101" s="192" t="str">
        <x:v>CONVERGENCE: RELATIVE REDUCTION OF F &lt;= FACTR*EPSMCH</x:v>
      </x:c>
      <x:c r="D101" s="193" t="n">
        <x:v>16</x:v>
      </x:c>
      <x:c r="E101" s="193" t="n">
        <x:v>0.029075944599161768</x:v>
      </x:c>
      <x:c r="F101" s="225" t="n">
        <x:v>2.2435063358283074</x:v>
      </x:c>
    </x:row>
    <x:row r="102" ht="15" hidden="0" customHeight="1">
      <x:c r="A102" s="176" t="n">
        <x:v>98</x:v>
      </x:c>
      <x:c r="B102" s="224" t="b">
        <x:v>1</x:v>
      </x:c>
      <x:c r="C102" s="192" t="str">
        <x:v>CONVERGENCE: RELATIVE REDUCTION OF F &lt;= FACTR*EPSMCH</x:v>
      </x:c>
      <x:c r="D102" s="193" t="n">
        <x:v>21</x:v>
      </x:c>
      <x:c r="E102" s="193" t="n">
        <x:v>0.013304995410081455</x:v>
      </x:c>
      <x:c r="F102" s="225" t="n">
        <x:v>2.160038901469483</x:v>
      </x:c>
    </x:row>
    <x:row r="103" ht="15" hidden="0" customHeight="1">
      <x:c r="A103" s="176" t="n">
        <x:v>99</x:v>
      </x:c>
      <x:c r="B103" s="224" t="b">
        <x:v>1</x:v>
      </x:c>
      <x:c r="C103" s="192" t="str">
        <x:v>CONVERGENCE: RELATIVE REDUCTION OF F &lt;= FACTR*EPSMCH</x:v>
      </x:c>
      <x:c r="D103" s="193" t="n">
        <x:v>21</x:v>
      </x:c>
      <x:c r="E103" s="193" t="n">
        <x:v>0.014827666584769838</x:v>
      </x:c>
      <x:c r="F103" s="225" t="n">
        <x:v>2.2575311858554046</x:v>
      </x:c>
    </x:row>
    <x:row r="104" ht="15" hidden="0" customHeight="1">
      <x:c r="A104" s="176" t="n">
        <x:v>100</x:v>
      </x:c>
      <x:c r="B104" s="224" t="b">
        <x:v>1</x:v>
      </x:c>
      <x:c r="C104" s="192" t="str">
        <x:v>CONVERGENCE: RELATIVE REDUCTION OF F &lt;= FACTR*EPSMCH</x:v>
      </x:c>
      <x:c r="D104" s="193" t="n">
        <x:v>18</x:v>
      </x:c>
      <x:c r="E104" s="193" t="n">
        <x:v>0.09895516951674654</x:v>
      </x:c>
      <x:c r="F104" s="225" t="n">
        <x:v>2.2553028951520715</x:v>
      </x:c>
    </x:row>
    <x:row r="105" ht="15" hidden="0" customHeight="1">
      <x:c r="A105" s="176" t="n">
        <x:v>101</x:v>
      </x:c>
      <x:c r="B105" s="224" t="b">
        <x:v>1</x:v>
      </x:c>
      <x:c r="C105" s="192" t="str">
        <x:v>CONVERGENCE: RELATIVE REDUCTION OF F &lt;= FACTR*EPSMCH</x:v>
      </x:c>
      <x:c r="D105" s="193" t="n">
        <x:v>17</x:v>
      </x:c>
      <x:c r="E105" s="193" t="n">
        <x:v>0.017075693106123342</x:v>
      </x:c>
      <x:c r="F105" s="225" t="n">
        <x:v>2.212890014800292</x:v>
      </x:c>
    </x:row>
    <x:row r="106" ht="15" hidden="0" customHeight="1">
      <x:c r="A106" s="176" t="n">
        <x:v>102</x:v>
      </x:c>
      <x:c r="B106" s="224" t="b">
        <x:v>1</x:v>
      </x:c>
      <x:c r="C106" s="192" t="str">
        <x:v>CONVERGENCE: RELATIVE REDUCTION OF F &lt;= FACTR*EPSMCH</x:v>
      </x:c>
      <x:c r="D106" s="193" t="n">
        <x:v>21</x:v>
      </x:c>
      <x:c r="E106" s="193" t="n">
        <x:v>0.0401610221750488</x:v>
      </x:c>
      <x:c r="F106" s="225" t="n">
        <x:v>2.173464417756752</x:v>
      </x:c>
    </x:row>
    <x:row r="107" ht="15" hidden="0" customHeight="1">
      <x:c r="A107" s="176" t="n">
        <x:v>103</x:v>
      </x:c>
      <x:c r="B107" s="224" t="b">
        <x:v>1</x:v>
      </x:c>
      <x:c r="C107" s="192" t="str">
        <x:v>CONVERGENCE: RELATIVE REDUCTION OF F &lt;= FACTR*EPSMCH</x:v>
      </x:c>
      <x:c r="D107" s="193" t="n">
        <x:v>19</x:v>
      </x:c>
      <x:c r="E107" s="193" t="n">
        <x:v>0.024001534706065947</x:v>
      </x:c>
      <x:c r="F107" s="225" t="n">
        <x:v>2.237753016451816</x:v>
      </x:c>
    </x:row>
    <x:row r="108" ht="15" hidden="0" customHeight="1">
      <x:c r="A108" s="176" t="n">
        <x:v>104</x:v>
      </x:c>
      <x:c r="B108" s="224" t="b">
        <x:v>1</x:v>
      </x:c>
      <x:c r="C108" s="192" t="str">
        <x:v>CONVERGENCE: RELATIVE REDUCTION OF F &lt;= FACTR*EPSMCH</x:v>
      </x:c>
      <x:c r="D108" s="193" t="n">
        <x:v>19</x:v>
      </x:c>
      <x:c r="E108" s="193" t="n">
        <x:v>0.02719400258535809</x:v>
      </x:c>
      <x:c r="F108" s="225" t="n">
        <x:v>2.172429693895171</x:v>
      </x:c>
    </x:row>
    <x:row r="109" ht="15" hidden="0" customHeight="1">
      <x:c r="A109" s="176" t="n">
        <x:v>105</x:v>
      </x:c>
      <x:c r="B109" s="224" t="b">
        <x:v>1</x:v>
      </x:c>
      <x:c r="C109" s="192" t="str">
        <x:v>CONVERGENCE: RELATIVE REDUCTION OF F &lt;= FACTR*EPSMCH</x:v>
      </x:c>
      <x:c r="D109" s="193" t="n">
        <x:v>12</x:v>
      </x:c>
      <x:c r="E109" s="193" t="n">
        <x:v>0.02190697671359665</x:v>
      </x:c>
      <x:c r="F109" s="225" t="n">
        <x:v>2.2138813129003583</x:v>
      </x:c>
    </x:row>
    <x:row r="110" ht="15" hidden="0" customHeight="1">
      <x:c r="A110" s="176" t="n">
        <x:v>106</x:v>
      </x:c>
      <x:c r="B110" s="224" t="b">
        <x:v>1</x:v>
      </x:c>
      <x:c r="C110" s="192" t="str">
        <x:v>CONVERGENCE: RELATIVE REDUCTION OF F &lt;= FACTR*EPSMCH</x:v>
      </x:c>
      <x:c r="D110" s="193" t="n">
        <x:v>23</x:v>
      </x:c>
      <x:c r="E110" s="193" t="n">
        <x:v>0.01029536596159436</x:v>
      </x:c>
      <x:c r="F110" s="225" t="n">
        <x:v>2.202282960428136</x:v>
      </x:c>
    </x:row>
    <x:row r="111" ht="15" hidden="0" customHeight="1">
      <x:c r="A111" s="176" t="n">
        <x:v>107</x:v>
      </x:c>
      <x:c r="B111" s="224" t="b">
        <x:v>1</x:v>
      </x:c>
      <x:c r="C111" s="192" t="str">
        <x:v>CONVERGENCE: RELATIVE REDUCTION OF F &lt;= FACTR*EPSMCH</x:v>
      </x:c>
      <x:c r="D111" s="193" t="n">
        <x:v>23</x:v>
      </x:c>
      <x:c r="E111" s="193" t="n">
        <x:v>0.017025860677462923</x:v>
      </x:c>
      <x:c r="F111" s="225" t="n">
        <x:v>2.197945877239626</x:v>
      </x:c>
    </x:row>
    <x:row r="112" ht="15" hidden="0" customHeight="1">
      <x:c r="A112" s="176" t="n">
        <x:v>108</x:v>
      </x:c>
      <x:c r="B112" s="224" t="b">
        <x:v>1</x:v>
      </x:c>
      <x:c r="C112" s="192" t="str">
        <x:v>CONVERGENCE: RELATIVE REDUCTION OF F &lt;= FACTR*EPSMCH</x:v>
      </x:c>
      <x:c r="D112" s="193" t="n">
        <x:v>21</x:v>
      </x:c>
      <x:c r="E112" s="193" t="n">
        <x:v>0.052969923760283505</x:v>
      </x:c>
      <x:c r="F112" s="225" t="n">
        <x:v>2.1962861262819233</x:v>
      </x:c>
    </x:row>
    <x:row r="113" ht="15" hidden="0" customHeight="1">
      <x:c r="A113" s="176" t="n">
        <x:v>109</x:v>
      </x:c>
      <x:c r="B113" s="224" t="b">
        <x:v>1</x:v>
      </x:c>
      <x:c r="C113" s="192" t="str">
        <x:v>CONVERGENCE: RELATIVE REDUCTION OF F &lt;= FACTR*EPSMCH</x:v>
      </x:c>
      <x:c r="D113" s="193" t="n">
        <x:v>17</x:v>
      </x:c>
      <x:c r="E113" s="193" t="n">
        <x:v>0.020107302095683066</x:v>
      </x:c>
      <x:c r="F113" s="225" t="n">
        <x:v>2.2511170961851734</x:v>
      </x:c>
    </x:row>
    <x:row r="114" ht="15" hidden="0" customHeight="1">
      <x:c r="A114" s="176" t="n">
        <x:v>110</x:v>
      </x:c>
      <x:c r="B114" s="224" t="b">
        <x:v>1</x:v>
      </x:c>
      <x:c r="C114" s="192" t="str">
        <x:v>CONVERGENCE: RELATIVE REDUCTION OF F &lt;= FACTR*EPSMCH</x:v>
      </x:c>
      <x:c r="D114" s="193" t="n">
        <x:v>17</x:v>
      </x:c>
      <x:c r="E114" s="193" t="n">
        <x:v>0.05336964705309599</x:v>
      </x:c>
      <x:c r="F114" s="225" t="n">
        <x:v>2.2423184253888495</x:v>
      </x:c>
    </x:row>
    <x:row r="115" ht="15" hidden="0" customHeight="1">
      <x:c r="A115" s="176" t="n">
        <x:v>111</x:v>
      </x:c>
      <x:c r="B115" s="224" t="b">
        <x:v>1</x:v>
      </x:c>
      <x:c r="C115" s="192" t="str">
        <x:v>CONVERGENCE: RELATIVE REDUCTION OF F &lt;= FACTR*EPSMCH</x:v>
      </x:c>
      <x:c r="D115" s="193" t="n">
        <x:v>7</x:v>
      </x:c>
      <x:c r="E115" s="193" t="n">
        <x:v>0.02874985089668195</x:v>
      </x:c>
      <x:c r="F115" s="225" t="n">
        <x:v>2.2325690895525274</x:v>
      </x:c>
    </x:row>
    <x:row r="116" ht="15" hidden="0" customHeight="1">
      <x:c r="A116" s="176" t="n">
        <x:v>112</x:v>
      </x:c>
      <x:c r="B116" s="224" t="b">
        <x:v>1</x:v>
      </x:c>
      <x:c r="C116" s="192" t="str">
        <x:v>CONVERGENCE: RELATIVE REDUCTION OF F &lt;= FACTR*EPSMCH</x:v>
      </x:c>
      <x:c r="D116" s="193" t="n">
        <x:v>24</x:v>
      </x:c>
      <x:c r="E116" s="193" t="n">
        <x:v>0.014316009255981477</x:v>
      </x:c>
      <x:c r="F116" s="225" t="n">
        <x:v>2.2174920993314813</x:v>
      </x:c>
    </x:row>
    <x:row r="117" ht="15" hidden="0" customHeight="1">
      <x:c r="A117" s="176" t="n">
        <x:v>113</x:v>
      </x:c>
      <x:c r="B117" s="224" t="b">
        <x:v>1</x:v>
      </x:c>
      <x:c r="C117" s="192" t="str">
        <x:v>CONVERGENCE: RELATIVE REDUCTION OF F &lt;= FACTR*EPSMCH</x:v>
      </x:c>
      <x:c r="D117" s="193" t="n">
        <x:v>19</x:v>
      </x:c>
      <x:c r="E117" s="193" t="n">
        <x:v>0.017948365702946827</x:v>
      </x:c>
      <x:c r="F117" s="225" t="n">
        <x:v>2.2009903775312134</x:v>
      </x:c>
    </x:row>
    <x:row r="118" ht="15" hidden="0" customHeight="1">
      <x:c r="A118" s="176" t="n">
        <x:v>114</x:v>
      </x:c>
      <x:c r="B118" s="224" t="b">
        <x:v>1</x:v>
      </x:c>
      <x:c r="C118" s="192" t="str">
        <x:v>CONVERGENCE: RELATIVE REDUCTION OF F &lt;= FACTR*EPSMCH</x:v>
      </x:c>
      <x:c r="D118" s="193" t="n">
        <x:v>18</x:v>
      </x:c>
      <x:c r="E118" s="193" t="n">
        <x:v>0.02515279093041891</x:v>
      </x:c>
      <x:c r="F118" s="225" t="n">
        <x:v>2.197337593614678</x:v>
      </x:c>
    </x:row>
    <x:row r="119" ht="15" hidden="0" customHeight="1">
      <x:c r="A119" s="176" t="n">
        <x:v>115</x:v>
      </x:c>
      <x:c r="B119" s="224" t="b">
        <x:v>1</x:v>
      </x:c>
      <x:c r="C119" s="192" t="str">
        <x:v>CONVERGENCE: RELATIVE REDUCTION OF F &lt;= FACTR*EPSMCH</x:v>
      </x:c>
      <x:c r="D119" s="193" t="n">
        <x:v>18</x:v>
      </x:c>
      <x:c r="E119" s="193" t="n">
        <x:v>0.05596181171359893</x:v>
      </x:c>
      <x:c r="F119" s="225" t="n">
        <x:v>2.262240697763265</x:v>
      </x:c>
    </x:row>
    <x:row r="120" ht="15" hidden="0" customHeight="1">
      <x:c r="A120" s="176" t="n">
        <x:v>116</x:v>
      </x:c>
      <x:c r="B120" s="224" t="b">
        <x:v>1</x:v>
      </x:c>
      <x:c r="C120" s="192" t="str">
        <x:v>CONVERGENCE: RELATIVE REDUCTION OF F &lt;= FACTR*EPSMCH</x:v>
      </x:c>
      <x:c r="D120" s="193" t="n">
        <x:v>14</x:v>
      </x:c>
      <x:c r="E120" s="193" t="n">
        <x:v>0.03034063226496775</x:v>
      </x:c>
      <x:c r="F120" s="225" t="n">
        <x:v>2.1605676614322866</x:v>
      </x:c>
    </x:row>
    <x:row r="121" ht="15" hidden="0" customHeight="1">
      <x:c r="A121" s="176" t="n">
        <x:v>117</x:v>
      </x:c>
      <x:c r="B121" s="224" t="b">
        <x:v>1</x:v>
      </x:c>
      <x:c r="C121" s="192" t="str">
        <x:v>CONVERGENCE: RELATIVE REDUCTION OF F &lt;= FACTR*EPSMCH</x:v>
      </x:c>
      <x:c r="D121" s="193" t="n">
        <x:v>14</x:v>
      </x:c>
      <x:c r="E121" s="193" t="n">
        <x:v>0.04018002581056912</x:v>
      </x:c>
      <x:c r="F121" s="225" t="n">
        <x:v>2.1933895281878057</x:v>
      </x:c>
    </x:row>
    <x:row r="122" ht="15" hidden="0" customHeight="1">
      <x:c r="A122" s="176" t="n">
        <x:v>118</x:v>
      </x:c>
      <x:c r="B122" s="224" t="b">
        <x:v>1</x:v>
      </x:c>
      <x:c r="C122" s="192" t="str">
        <x:v>CONVERGENCE: RELATIVE REDUCTION OF F &lt;= FACTR*EPSMCH</x:v>
      </x:c>
      <x:c r="D122" s="193" t="n">
        <x:v>21</x:v>
      </x:c>
      <x:c r="E122" s="193" t="n">
        <x:v>0.013458106138048098</x:v>
      </x:c>
      <x:c r="F122" s="225" t="n">
        <x:v>2.191909267395053</x:v>
      </x:c>
    </x:row>
    <x:row r="123" ht="15" hidden="0" customHeight="1">
      <x:c r="A123" s="176" t="n">
        <x:v>119</x:v>
      </x:c>
      <x:c r="B123" s="224" t="b">
        <x:v>1</x:v>
      </x:c>
      <x:c r="C123" s="192" t="str">
        <x:v>CONVERGENCE: RELATIVE REDUCTION OF F &lt;= FACTR*EPSMCH</x:v>
      </x:c>
      <x:c r="D123" s="193" t="n">
        <x:v>17</x:v>
      </x:c>
      <x:c r="E123" s="193" t="n">
        <x:v>0.23983829947088786</x:v>
      </x:c>
      <x:c r="F123" s="225" t="n">
        <x:v>2.2341927577258525</x:v>
      </x:c>
    </x:row>
    <x:row r="124" ht="15" hidden="0" customHeight="1">
      <x:c r="A124" s="176" t="n">
        <x:v>120</x:v>
      </x:c>
      <x:c r="B124" s="224" t="b">
        <x:v>1</x:v>
      </x:c>
      <x:c r="C124" s="192" t="str">
        <x:v>CONVERGENCE: RELATIVE REDUCTION OF F &lt;= FACTR*EPSMCH</x:v>
      </x:c>
      <x:c r="D124" s="193" t="n">
        <x:v>17</x:v>
      </x:c>
      <x:c r="E124" s="193" t="n">
        <x:v>0.03579725683183352</x:v>
      </x:c>
      <x:c r="F124" s="225" t="n">
        <x:v>2.2590175143220965</x:v>
      </x:c>
    </x:row>
    <x:row r="125" ht="15" hidden="0" customHeight="1">
      <x:c r="A125" s="176" t="n">
        <x:v>121</x:v>
      </x:c>
      <x:c r="B125" s="224" t="b">
        <x:v>1</x:v>
      </x:c>
      <x:c r="C125" s="192" t="str">
        <x:v>CONVERGENCE: RELATIVE REDUCTION OF F &lt;= FACTR*EPSMCH</x:v>
      </x:c>
      <x:c r="D125" s="193" t="n">
        <x:v>20</x:v>
      </x:c>
      <x:c r="E125" s="193" t="n">
        <x:v>0.13603654059393466</x:v>
      </x:c>
      <x:c r="F125" s="225" t="n">
        <x:v>2.2097514929416766</x:v>
      </x:c>
    </x:row>
    <x:row r="126" ht="15" hidden="0" customHeight="1">
      <x:c r="A126" s="176" t="n">
        <x:v>122</x:v>
      </x:c>
      <x:c r="B126" s="224" t="b">
        <x:v>1</x:v>
      </x:c>
      <x:c r="C126" s="192" t="str">
        <x:v>CONVERGENCE: RELATIVE REDUCTION OF F &lt;= FACTR*EPSMCH</x:v>
      </x:c>
      <x:c r="D126" s="193" t="n">
        <x:v>20</x:v>
      </x:c>
      <x:c r="E126" s="193" t="n">
        <x:v>0.028056148900545974</x:v>
      </x:c>
      <x:c r="F126" s="225" t="n">
        <x:v>2.2327344781874765</x:v>
      </x:c>
    </x:row>
    <x:row r="127" ht="15" hidden="0" customHeight="1">
      <x:c r="A127" s="176" t="n">
        <x:v>123</x:v>
      </x:c>
      <x:c r="B127" s="224" t="b">
        <x:v>1</x:v>
      </x:c>
      <x:c r="C127" s="192" t="str">
        <x:v>CONVERGENCE: RELATIVE REDUCTION OF F &lt;= FACTR*EPSMCH</x:v>
      </x:c>
      <x:c r="D127" s="193" t="n">
        <x:v>18</x:v>
      </x:c>
      <x:c r="E127" s="193" t="n">
        <x:v>0.03348293717986918</x:v>
      </x:c>
      <x:c r="F127" s="225" t="n">
        <x:v>2.279887980719791</x:v>
      </x:c>
    </x:row>
    <x:row r="128" ht="15" hidden="0" customHeight="1">
      <x:c r="A128" s="176" t="n">
        <x:v>124</x:v>
      </x:c>
      <x:c r="B128" s="224" t="b">
        <x:v>1</x:v>
      </x:c>
      <x:c r="C128" s="192" t="str">
        <x:v>CONVERGENCE: RELATIVE REDUCTION OF F &lt;= FACTR*EPSMCH</x:v>
      </x:c>
      <x:c r="D128" s="193" t="n">
        <x:v>12</x:v>
      </x:c>
      <x:c r="E128" s="193" t="n">
        <x:v>0.010255306380686946</x:v>
      </x:c>
      <x:c r="F128" s="225" t="n">
        <x:v>2.2332896071202875</x:v>
      </x:c>
    </x:row>
    <x:row r="129" ht="15" hidden="0" customHeight="1">
      <x:c r="A129" s="176" t="n">
        <x:v>125</x:v>
      </x:c>
      <x:c r="B129" s="224" t="b">
        <x:v>1</x:v>
      </x:c>
      <x:c r="C129" s="192" t="str">
        <x:v>CONVERGENCE: RELATIVE REDUCTION OF F &lt;= FACTR*EPSMCH</x:v>
      </x:c>
      <x:c r="D129" s="193" t="n">
        <x:v>17</x:v>
      </x:c>
      <x:c r="E129" s="193" t="n">
        <x:v>0.02760709159933411</x:v>
      </x:c>
      <x:c r="F129" s="225" t="n">
        <x:v>2.2249141855861856</x:v>
      </x:c>
    </x:row>
    <x:row r="130" ht="15" hidden="0" customHeight="1">
      <x:c r="A130" s="176" t="n">
        <x:v>126</x:v>
      </x:c>
      <x:c r="B130" s="224" t="b">
        <x:v>1</x:v>
      </x:c>
      <x:c r="C130" s="192" t="str">
        <x:v>CONVERGENCE: RELATIVE REDUCTION OF F &lt;= FACTR*EPSMCH</x:v>
      </x:c>
      <x:c r="D130" s="193" t="n">
        <x:v>22</x:v>
      </x:c>
      <x:c r="E130" s="193" t="n">
        <x:v>0.019542169030864476</x:v>
      </x:c>
      <x:c r="F130" s="225" t="n">
        <x:v>2.170196644932061</x:v>
      </x:c>
    </x:row>
    <x:row r="131" ht="15" hidden="0" customHeight="1">
      <x:c r="A131" s="176" t="n">
        <x:v>127</x:v>
      </x:c>
      <x:c r="B131" s="224" t="b">
        <x:v>1</x:v>
      </x:c>
      <x:c r="C131" s="192" t="str">
        <x:v>CONVERGENCE: RELATIVE REDUCTION OF F &lt;= FACTR*EPSMCH</x:v>
      </x:c>
      <x:c r="D131" s="193" t="n">
        <x:v>16</x:v>
      </x:c>
      <x:c r="E131" s="193" t="n">
        <x:v>0.022689407388277183</x:v>
      </x:c>
      <x:c r="F131" s="225" t="n">
        <x:v>2.1937412091304958</x:v>
      </x:c>
    </x:row>
    <x:row r="132" ht="15" hidden="0" customHeight="1">
      <x:c r="A132" s="176" t="n">
        <x:v>128</x:v>
      </x:c>
      <x:c r="B132" s="224" t="b">
        <x:v>1</x:v>
      </x:c>
      <x:c r="C132" s="192" t="str">
        <x:v>CONVERGENCE: RELATIVE REDUCTION OF F &lt;= FACTR*EPSMCH</x:v>
      </x:c>
      <x:c r="D132" s="193" t="n">
        <x:v>17</x:v>
      </x:c>
      <x:c r="E132" s="193" t="n">
        <x:v>0.012341084779417616</x:v>
      </x:c>
      <x:c r="F132" s="225" t="n">
        <x:v>2.180138410063883</x:v>
      </x:c>
    </x:row>
    <x:row r="133" ht="15" hidden="0" customHeight="1">
      <x:c r="A133" s="176" t="n">
        <x:v>129</x:v>
      </x:c>
      <x:c r="B133" s="224" t="b">
        <x:v>1</x:v>
      </x:c>
      <x:c r="C133" s="192" t="str">
        <x:v>CONVERGENCE: RELATIVE REDUCTION OF F &lt;= FACTR*EPSMCH</x:v>
      </x:c>
      <x:c r="D133" s="193" t="n">
        <x:v>23</x:v>
      </x:c>
      <x:c r="E133" s="193" t="n">
        <x:v>0.008198105024325691</x:v>
      </x:c>
      <x:c r="F133" s="225" t="n">
        <x:v>2.175929703208998</x:v>
      </x:c>
    </x:row>
    <x:row r="134" ht="15" hidden="0" customHeight="1">
      <x:c r="A134" s="176" t="n">
        <x:v>130</x:v>
      </x:c>
      <x:c r="B134" s="224" t="b">
        <x:v>1</x:v>
      </x:c>
      <x:c r="C134" s="192" t="str">
        <x:v>CONVERGENCE: RELATIVE REDUCTION OF F &lt;= FACTR*EPSMCH</x:v>
      </x:c>
      <x:c r="D134" s="193" t="n">
        <x:v>13</x:v>
      </x:c>
      <x:c r="E134" s="193" t="n">
        <x:v>0.02978233629383978</x:v>
      </x:c>
      <x:c r="F134" s="225" t="n">
        <x:v>2.200108046177924</x:v>
      </x:c>
    </x:row>
    <x:row r="135" ht="15" hidden="0" customHeight="1">
      <x:c r="A135" s="176" t="n">
        <x:v>131</x:v>
      </x:c>
      <x:c r="B135" s="224" t="b">
        <x:v>1</x:v>
      </x:c>
      <x:c r="C135" s="192" t="str">
        <x:v>CONVERGENCE: RELATIVE REDUCTION OF F &lt;= FACTR*EPSMCH</x:v>
      </x:c>
      <x:c r="D135" s="193" t="n">
        <x:v>18</x:v>
      </x:c>
      <x:c r="E135" s="193" t="n">
        <x:v>0.05514671711117547</x:v>
      </x:c>
      <x:c r="F135" s="225" t="n">
        <x:v>2.1920232344304447</x:v>
      </x:c>
    </x:row>
    <x:row r="136" ht="15" hidden="0" customHeight="1">
      <x:c r="A136" s="176" t="n">
        <x:v>132</x:v>
      </x:c>
      <x:c r="B136" s="224" t="b">
        <x:v>1</x:v>
      </x:c>
      <x:c r="C136" s="192" t="str">
        <x:v>CONVERGENCE: RELATIVE REDUCTION OF F &lt;= FACTR*EPSMCH</x:v>
      </x:c>
      <x:c r="D136" s="193" t="n">
        <x:v>17</x:v>
      </x:c>
      <x:c r="E136" s="193" t="n">
        <x:v>0.019147695183716052</x:v>
      </x:c>
      <x:c r="F136" s="225" t="n">
        <x:v>2.1118912541876504</x:v>
      </x:c>
    </x:row>
    <x:row r="137" ht="15" hidden="0" customHeight="1">
      <x:c r="A137" s="176" t="n">
        <x:v>133</x:v>
      </x:c>
      <x:c r="B137" s="224" t="b">
        <x:v>1</x:v>
      </x:c>
      <x:c r="C137" s="192" t="str">
        <x:v>CONVERGENCE: RELATIVE REDUCTION OF F &lt;= FACTR*EPSMCH</x:v>
      </x:c>
      <x:c r="D137" s="193" t="n">
        <x:v>21</x:v>
      </x:c>
      <x:c r="E137" s="193" t="n">
        <x:v>0.0034165397522352425</x:v>
      </x:c>
      <x:c r="F137" s="225" t="n">
        <x:v>2.189075153277697</x:v>
      </x:c>
    </x:row>
    <x:row r="138" ht="15" hidden="0" customHeight="1">
      <x:c r="A138" s="176" t="n">
        <x:v>134</x:v>
      </x:c>
      <x:c r="B138" s="224" t="b">
        <x:v>1</x:v>
      </x:c>
      <x:c r="C138" s="192" t="str">
        <x:v>CONVERGENCE: RELATIVE REDUCTION OF F &lt;= FACTR*EPSMCH</x:v>
      </x:c>
      <x:c r="D138" s="193" t="n">
        <x:v>17</x:v>
      </x:c>
      <x:c r="E138" s="193" t="n">
        <x:v>0.01698226318759999</x:v>
      </x:c>
      <x:c r="F138" s="225" t="n">
        <x:v>2.2594173076422286</x:v>
      </x:c>
    </x:row>
    <x:row r="139" ht="15" hidden="0" customHeight="1">
      <x:c r="A139" s="176" t="n">
        <x:v>135</x:v>
      </x:c>
      <x:c r="B139" s="224" t="b">
        <x:v>1</x:v>
      </x:c>
      <x:c r="C139" s="192" t="str">
        <x:v>CONVERGENCE: RELATIVE REDUCTION OF F &lt;= FACTR*EPSMCH</x:v>
      </x:c>
      <x:c r="D139" s="193" t="n">
        <x:v>18</x:v>
      </x:c>
      <x:c r="E139" s="193" t="n">
        <x:v>0.0969617945861363</x:v>
      </x:c>
      <x:c r="F139" s="225" t="n">
        <x:v>2.1993354073469655</x:v>
      </x:c>
    </x:row>
    <x:row r="140" ht="15" hidden="0" customHeight="1">
      <x:c r="A140" s="176" t="n">
        <x:v>136</x:v>
      </x:c>
      <x:c r="B140" s="224" t="b">
        <x:v>1</x:v>
      </x:c>
      <x:c r="C140" s="192" t="str">
        <x:v>CONVERGENCE: RELATIVE REDUCTION OF F &lt;= FACTR*EPSMCH</x:v>
      </x:c>
      <x:c r="D140" s="193" t="n">
        <x:v>16</x:v>
      </x:c>
      <x:c r="E140" s="193" t="n">
        <x:v>0.02271631464739543</x:v>
      </x:c>
      <x:c r="F140" s="225" t="n">
        <x:v>2.218397869657239</x:v>
      </x:c>
    </x:row>
    <x:row r="141" ht="15" hidden="0" customHeight="1">
      <x:c r="A141" s="176" t="n">
        <x:v>137</x:v>
      </x:c>
      <x:c r="B141" s="224" t="b">
        <x:v>1</x:v>
      </x:c>
      <x:c r="C141" s="192" t="str">
        <x:v>CONVERGENCE: RELATIVE REDUCTION OF F &lt;= FACTR*EPSMCH</x:v>
      </x:c>
      <x:c r="D141" s="193" t="n">
        <x:v>15</x:v>
      </x:c>
      <x:c r="E141" s="193" t="n">
        <x:v>0.014215249402652924</x:v>
      </x:c>
      <x:c r="F141" s="225" t="n">
        <x:v>2.195738016127221</x:v>
      </x:c>
    </x:row>
    <x:row r="142" ht="15" hidden="0" customHeight="1">
      <x:c r="A142" s="176" t="n">
        <x:v>138</x:v>
      </x:c>
      <x:c r="B142" s="224" t="b">
        <x:v>1</x:v>
      </x:c>
      <x:c r="C142" s="192" t="str">
        <x:v>CONVERGENCE: RELATIVE REDUCTION OF F &lt;= FACTR*EPSMCH</x:v>
      </x:c>
      <x:c r="D142" s="193" t="n">
        <x:v>21</x:v>
      </x:c>
      <x:c r="E142" s="193" t="n">
        <x:v>0.01725762474386494</x:v>
      </x:c>
      <x:c r="F142" s="225" t="n">
        <x:v>2.159581179515833</x:v>
      </x:c>
    </x:row>
    <x:row r="143" ht="15" hidden="0" customHeight="1">
      <x:c r="A143" s="176" t="n">
        <x:v>139</x:v>
      </x:c>
      <x:c r="B143" s="224" t="b">
        <x:v>1</x:v>
      </x:c>
      <x:c r="C143" s="192" t="str">
        <x:v>CONVERGENCE: RELATIVE REDUCTION OF F &lt;= FACTR*EPSMCH</x:v>
      </x:c>
      <x:c r="D143" s="193" t="n">
        <x:v>14</x:v>
      </x:c>
      <x:c r="E143" s="193" t="n">
        <x:v>0.039112290194780464</x:v>
      </x:c>
      <x:c r="F143" s="225" t="n">
        <x:v>2.216651199754474</x:v>
      </x:c>
    </x:row>
    <x:row r="144" ht="15" hidden="0" customHeight="1">
      <x:c r="A144" s="176" t="n">
        <x:v>140</x:v>
      </x:c>
      <x:c r="B144" s="224" t="b">
        <x:v>1</x:v>
      </x:c>
      <x:c r="C144" s="192" t="str">
        <x:v>CONVERGENCE: RELATIVE REDUCTION OF F &lt;= FACTR*EPSMCH</x:v>
      </x:c>
      <x:c r="D144" s="193" t="n">
        <x:v>22</x:v>
      </x:c>
      <x:c r="E144" s="193" t="n">
        <x:v>0.022316688720191186</x:v>
      </x:c>
      <x:c r="F144" s="225" t="n">
        <x:v>2.2116371010089035</x:v>
      </x:c>
    </x:row>
    <x:row r="145" ht="15" hidden="0" customHeight="1">
      <x:c r="A145" s="176" t="n">
        <x:v>141</x:v>
      </x:c>
      <x:c r="B145" s="224" t="b">
        <x:v>1</x:v>
      </x:c>
      <x:c r="C145" s="192" t="str">
        <x:v>CONVERGENCE: RELATIVE REDUCTION OF F &lt;= FACTR*EPSMCH</x:v>
      </x:c>
      <x:c r="D145" s="193" t="n">
        <x:v>16</x:v>
      </x:c>
      <x:c r="E145" s="193" t="n">
        <x:v>0.03958241835164497</x:v>
      </x:c>
      <x:c r="F145" s="225" t="n">
        <x:v>2.243832801645621</x:v>
      </x:c>
    </x:row>
    <x:row r="146" ht="15" hidden="0" customHeight="1">
      <x:c r="A146" s="176" t="n">
        <x:v>142</x:v>
      </x:c>
      <x:c r="B146" s="224" t="b">
        <x:v>1</x:v>
      </x:c>
      <x:c r="C146" s="192" t="str">
        <x:v>CONVERGENCE: RELATIVE REDUCTION OF F &lt;= FACTR*EPSMCH</x:v>
      </x:c>
      <x:c r="D146" s="193" t="n">
        <x:v>18</x:v>
      </x:c>
      <x:c r="E146" s="193" t="n">
        <x:v>0.03308728844462304</x:v>
      </x:c>
      <x:c r="F146" s="225" t="n">
        <x:v>2.254435857268541</x:v>
      </x:c>
    </x:row>
    <x:row r="147" ht="15" hidden="0" customHeight="1">
      <x:c r="A147" s="176" t="n">
        <x:v>143</x:v>
      </x:c>
      <x:c r="B147" s="224" t="b">
        <x:v>1</x:v>
      </x:c>
      <x:c r="C147" s="192" t="str">
        <x:v>CONVERGENCE: RELATIVE REDUCTION OF F &lt;= FACTR*EPSMCH</x:v>
      </x:c>
      <x:c r="D147" s="193" t="n">
        <x:v>21</x:v>
      </x:c>
      <x:c r="E147" s="193" t="n">
        <x:v>0.015026878770655339</x:v>
      </x:c>
      <x:c r="F147" s="225" t="n">
        <x:v>2.255020746632013</x:v>
      </x:c>
    </x:row>
    <x:row r="148" ht="15" hidden="0" customHeight="1">
      <x:c r="A148" s="176" t="n">
        <x:v>144</x:v>
      </x:c>
      <x:c r="B148" s="224" t="b">
        <x:v>1</x:v>
      </x:c>
      <x:c r="C148" s="192" t="str">
        <x:v>CONVERGENCE: RELATIVE REDUCTION OF F &lt;= FACTR*EPSMCH</x:v>
      </x:c>
      <x:c r="D148" s="193" t="n">
        <x:v>7</x:v>
      </x:c>
      <x:c r="E148" s="193" t="n">
        <x:v>0.01595552647630355</x:v>
      </x:c>
      <x:c r="F148" s="225" t="n">
        <x:v>2.175006602802561</x:v>
      </x:c>
    </x:row>
    <x:row r="149" ht="15" hidden="0" customHeight="1">
      <x:c r="A149" s="176" t="n">
        <x:v>145</x:v>
      </x:c>
      <x:c r="B149" s="224" t="b">
        <x:v>1</x:v>
      </x:c>
      <x:c r="C149" s="192" t="str">
        <x:v>CONVERGENCE: RELATIVE REDUCTION OF F &lt;= FACTR*EPSMCH</x:v>
      </x:c>
      <x:c r="D149" s="193" t="n">
        <x:v>13</x:v>
      </x:c>
      <x:c r="E149" s="193" t="n">
        <x:v>0.10444575210599494</x:v>
      </x:c>
      <x:c r="F149" s="225" t="n">
        <x:v>2.278059333575792</x:v>
      </x:c>
    </x:row>
    <x:row r="150" ht="15" hidden="0" customHeight="1">
      <x:c r="A150" s="176" t="n">
        <x:v>146</x:v>
      </x:c>
      <x:c r="B150" s="224" t="b">
        <x:v>1</x:v>
      </x:c>
      <x:c r="C150" s="192" t="str">
        <x:v>CONVERGENCE: RELATIVE REDUCTION OF F &lt;= FACTR*EPSMCH</x:v>
      </x:c>
      <x:c r="D150" s="193" t="n">
        <x:v>12</x:v>
      </x:c>
      <x:c r="E150" s="193" t="n">
        <x:v>0.04044298731306206</x:v>
      </x:c>
      <x:c r="F150" s="225" t="n">
        <x:v>2.2403626737836997</x:v>
      </x:c>
    </x:row>
    <x:row r="151" ht="15" hidden="0" customHeight="1">
      <x:c r="A151" s="176" t="n">
        <x:v>147</x:v>
      </x:c>
      <x:c r="B151" s="224" t="b">
        <x:v>1</x:v>
      </x:c>
      <x:c r="C151" s="192" t="str">
        <x:v>CONVERGENCE: RELATIVE REDUCTION OF F &lt;= FACTR*EPSMCH</x:v>
      </x:c>
      <x:c r="D151" s="193" t="n">
        <x:v>9</x:v>
      </x:c>
      <x:c r="E151" s="193" t="n">
        <x:v>0.018169559031058435</x:v>
      </x:c>
      <x:c r="F151" s="225" t="n">
        <x:v>2.177710236071495</x:v>
      </x:c>
    </x:row>
    <x:row r="152" ht="15" hidden="0" customHeight="1">
      <x:c r="A152" s="176" t="n">
        <x:v>148</x:v>
      </x:c>
      <x:c r="B152" s="224" t="b">
        <x:v>1</x:v>
      </x:c>
      <x:c r="C152" s="192" t="str">
        <x:v>CONVERGENCE: RELATIVE REDUCTION OF F &lt;= FACTR*EPSMCH</x:v>
      </x:c>
      <x:c r="D152" s="193" t="n">
        <x:v>18</x:v>
      </x:c>
      <x:c r="E152" s="193" t="n">
        <x:v>0.025425844038138495</x:v>
      </x:c>
      <x:c r="F152" s="225" t="n">
        <x:v>2.1641640942109848</x:v>
      </x:c>
    </x:row>
    <x:row r="153" ht="15" hidden="0" customHeight="1">
      <x:c r="A153" s="176" t="n">
        <x:v>149</x:v>
      </x:c>
      <x:c r="B153" s="224" t="b">
        <x:v>1</x:v>
      </x:c>
      <x:c r="C153" s="192" t="str">
        <x:v>CONVERGENCE: RELATIVE REDUCTION OF F &lt;= FACTR*EPSMCH</x:v>
      </x:c>
      <x:c r="D153" s="193" t="n">
        <x:v>13</x:v>
      </x:c>
      <x:c r="E153" s="193" t="n">
        <x:v>0.056621948366250674</x:v>
      </x:c>
      <x:c r="F153" s="225" t="n">
        <x:v>2.240962534892075</x:v>
      </x:c>
    </x:row>
    <x:row r="154" ht="15" hidden="0" customHeight="1">
      <x:c r="A154" s="176" t="n">
        <x:v>150</x:v>
      </x:c>
      <x:c r="B154" s="224" t="b">
        <x:v>1</x:v>
      </x:c>
      <x:c r="C154" s="192" t="str">
        <x:v>CONVERGENCE: RELATIVE REDUCTION OF F &lt;= FACTR*EPSMCH</x:v>
      </x:c>
      <x:c r="D154" s="193" t="n">
        <x:v>19</x:v>
      </x:c>
      <x:c r="E154" s="193" t="n">
        <x:v>0.007717204709542791</x:v>
      </x:c>
      <x:c r="F154" s="225" t="n">
        <x:v>2.2250719290550802</x:v>
      </x:c>
    </x:row>
    <x:row r="155" ht="15" hidden="0" customHeight="1">
      <x:c r="A155" s="176" t="n">
        <x:v>151</x:v>
      </x:c>
      <x:c r="B155" s="224" t="b">
        <x:v>1</x:v>
      </x:c>
      <x:c r="C155" s="192" t="str">
        <x:v>CONVERGENCE: RELATIVE REDUCTION OF F &lt;= FACTR*EPSMCH</x:v>
      </x:c>
      <x:c r="D155" s="193" t="n">
        <x:v>16</x:v>
      </x:c>
      <x:c r="E155" s="193" t="n">
        <x:v>0.015916125745426068</x:v>
      </x:c>
      <x:c r="F155" s="225" t="n">
        <x:v>2.2010884728841904</x:v>
      </x:c>
    </x:row>
    <x:row r="156" ht="15" hidden="0" customHeight="1">
      <x:c r="A156" s="176" t="n">
        <x:v>152</x:v>
      </x:c>
      <x:c r="B156" s="224" t="b">
        <x:v>1</x:v>
      </x:c>
      <x:c r="C156" s="192" t="str">
        <x:v>CONVERGENCE: RELATIVE REDUCTION OF F &lt;= FACTR*EPSMCH</x:v>
      </x:c>
      <x:c r="D156" s="193" t="n">
        <x:v>17</x:v>
      </x:c>
      <x:c r="E156" s="193" t="n">
        <x:v>0.020510975817584834</x:v>
      </x:c>
      <x:c r="F156" s="225" t="n">
        <x:v>2.2191443909504627</x:v>
      </x:c>
    </x:row>
    <x:row r="157" ht="15" hidden="0" customHeight="1">
      <x:c r="A157" s="176" t="n">
        <x:v>153</x:v>
      </x:c>
      <x:c r="B157" s="224" t="b">
        <x:v>1</x:v>
      </x:c>
      <x:c r="C157" s="192" t="str">
        <x:v>CONVERGENCE: RELATIVE REDUCTION OF F &lt;= FACTR*EPSMCH</x:v>
      </x:c>
      <x:c r="D157" s="193" t="n">
        <x:v>20</x:v>
      </x:c>
      <x:c r="E157" s="193" t="n">
        <x:v>0.012663127004905572</x:v>
      </x:c>
      <x:c r="F157" s="225" t="n">
        <x:v>2.2741906930817355</x:v>
      </x:c>
    </x:row>
    <x:row r="158" ht="15" hidden="0" customHeight="1">
      <x:c r="A158" s="176" t="n">
        <x:v>154</x:v>
      </x:c>
      <x:c r="B158" s="224" t="b">
        <x:v>1</x:v>
      </x:c>
      <x:c r="C158" s="192" t="str">
        <x:v>CONVERGENCE: RELATIVE REDUCTION OF F &lt;= FACTR*EPSMCH</x:v>
      </x:c>
      <x:c r="D158" s="193" t="n">
        <x:v>16</x:v>
      </x:c>
      <x:c r="E158" s="193" t="n">
        <x:v>0.021286914633371512</x:v>
      </x:c>
      <x:c r="F158" s="225" t="n">
        <x:v>2.2287868207334083</x:v>
      </x:c>
    </x:row>
    <x:row r="159" ht="15" hidden="0" customHeight="1">
      <x:c r="A159" s="176" t="n">
        <x:v>155</x:v>
      </x:c>
      <x:c r="B159" s="224" t="b">
        <x:v>1</x:v>
      </x:c>
      <x:c r="C159" s="192" t="str">
        <x:v>CONVERGENCE: RELATIVE REDUCTION OF F &lt;= FACTR*EPSMCH</x:v>
      </x:c>
      <x:c r="D159" s="193" t="n">
        <x:v>20</x:v>
      </x:c>
      <x:c r="E159" s="193" t="n">
        <x:v>0.06810036827935617</x:v>
      </x:c>
      <x:c r="F159" s="225" t="n">
        <x:v>2.295997041791742</x:v>
      </x:c>
    </x:row>
    <x:row r="160" ht="15" hidden="0" customHeight="1">
      <x:c r="A160" s="176" t="n">
        <x:v>156</x:v>
      </x:c>
      <x:c r="B160" s="224" t="b">
        <x:v>1</x:v>
      </x:c>
      <x:c r="C160" s="192" t="str">
        <x:v>CONVERGENCE: RELATIVE REDUCTION OF F &lt;= FACTR*EPSMCH</x:v>
      </x:c>
      <x:c r="D160" s="193" t="n">
        <x:v>21</x:v>
      </x:c>
      <x:c r="E160" s="193" t="n">
        <x:v>0.012101943890894203</x:v>
      </x:c>
      <x:c r="F160" s="225" t="n">
        <x:v>2.1944947683075093</x:v>
      </x:c>
    </x:row>
    <x:row r="161" ht="15" hidden="0" customHeight="1">
      <x:c r="A161" s="176" t="n">
        <x:v>157</x:v>
      </x:c>
      <x:c r="B161" s="224" t="b">
        <x:v>1</x:v>
      </x:c>
      <x:c r="C161" s="192" t="str">
        <x:v>CONVERGENCE: RELATIVE REDUCTION OF F &lt;= FACTR*EPSMCH</x:v>
      </x:c>
      <x:c r="D161" s="193" t="n">
        <x:v>23</x:v>
      </x:c>
      <x:c r="E161" s="193" t="n">
        <x:v>0.02330217822954697</x:v>
      </x:c>
      <x:c r="F161" s="225" t="n">
        <x:v>2.184184794252283</x:v>
      </x:c>
    </x:row>
    <x:row r="162" ht="15" hidden="0" customHeight="1">
      <x:c r="A162" s="176" t="n">
        <x:v>158</x:v>
      </x:c>
      <x:c r="B162" s="224" t="b">
        <x:v>1</x:v>
      </x:c>
      <x:c r="C162" s="192" t="str">
        <x:v>CONVERGENCE: RELATIVE REDUCTION OF F &lt;= FACTR*EPSMCH</x:v>
      </x:c>
      <x:c r="D162" s="193" t="n">
        <x:v>20</x:v>
      </x:c>
      <x:c r="E162" s="193" t="n">
        <x:v>0.012063807248976877</x:v>
      </x:c>
      <x:c r="F162" s="225" t="n">
        <x:v>2.2495967267337487</x:v>
      </x:c>
    </x:row>
    <x:row r="163" ht="15" hidden="0" customHeight="1">
      <x:c r="A163" s="176" t="n">
        <x:v>159</x:v>
      </x:c>
      <x:c r="B163" s="224" t="b">
        <x:v>1</x:v>
      </x:c>
      <x:c r="C163" s="192" t="str">
        <x:v>CONVERGENCE: RELATIVE REDUCTION OF F &lt;= FACTR*EPSMCH</x:v>
      </x:c>
      <x:c r="D163" s="193" t="n">
        <x:v>16</x:v>
      </x:c>
      <x:c r="E163" s="193" t="n">
        <x:v>0.014936562267095265</x:v>
      </x:c>
      <x:c r="F163" s="225" t="n">
        <x:v>2.1996181651674354</x:v>
      </x:c>
    </x:row>
    <x:row r="164" ht="15" hidden="0" customHeight="1">
      <x:c r="A164" s="176" t="n">
        <x:v>160</x:v>
      </x:c>
      <x:c r="B164" s="224" t="b">
        <x:v>1</x:v>
      </x:c>
      <x:c r="C164" s="192" t="str">
        <x:v>CONVERGENCE: RELATIVE REDUCTION OF F &lt;= FACTR*EPSMCH</x:v>
      </x:c>
      <x:c r="D164" s="193" t="n">
        <x:v>18</x:v>
      </x:c>
      <x:c r="E164" s="193" t="n">
        <x:v>0.008975597808320912</x:v>
      </x:c>
      <x:c r="F164" s="225" t="n">
        <x:v>2.2459275157420926</x:v>
      </x:c>
    </x:row>
    <x:row r="165" ht="15" hidden="0" customHeight="1">
      <x:c r="A165" s="176" t="n">
        <x:v>161</x:v>
      </x:c>
      <x:c r="B165" s="224" t="b">
        <x:v>1</x:v>
      </x:c>
      <x:c r="C165" s="192" t="str">
        <x:v>CONVERGENCE: RELATIVE REDUCTION OF F &lt;= FACTR*EPSMCH</x:v>
      </x:c>
      <x:c r="D165" s="193" t="n">
        <x:v>18</x:v>
      </x:c>
      <x:c r="E165" s="193" t="n">
        <x:v>0.02140792387240245</x:v>
      </x:c>
      <x:c r="F165" s="225" t="n">
        <x:v>2.224039840500411</x:v>
      </x:c>
    </x:row>
    <x:row r="166" ht="15" hidden="0" customHeight="1">
      <x:c r="A166" s="176" t="n">
        <x:v>162</x:v>
      </x:c>
      <x:c r="B166" s="224" t="b">
        <x:v>1</x:v>
      </x:c>
      <x:c r="C166" s="192" t="str">
        <x:v>CONVERGENCE: RELATIVE REDUCTION OF F &lt;= FACTR*EPSMCH</x:v>
      </x:c>
      <x:c r="D166" s="193" t="n">
        <x:v>19</x:v>
      </x:c>
      <x:c r="E166" s="193" t="n">
        <x:v>0.0386079233940273</x:v>
      </x:c>
      <x:c r="F166" s="225" t="n">
        <x:v>2.2079166678023117</x:v>
      </x:c>
    </x:row>
    <x:row r="167" ht="15" hidden="0" customHeight="1">
      <x:c r="A167" s="176" t="n">
        <x:v>163</x:v>
      </x:c>
      <x:c r="B167" s="224" t="b">
        <x:v>1</x:v>
      </x:c>
      <x:c r="C167" s="192" t="str">
        <x:v>CONVERGENCE: RELATIVE REDUCTION OF F &lt;= FACTR*EPSMCH</x:v>
      </x:c>
      <x:c r="D167" s="193" t="n">
        <x:v>19</x:v>
      </x:c>
      <x:c r="E167" s="193" t="n">
        <x:v>0.025690201843086236</x:v>
      </x:c>
      <x:c r="F167" s="225" t="n">
        <x:v>2.2648516052994534</x:v>
      </x:c>
    </x:row>
    <x:row r="168" ht="15" hidden="0" customHeight="1">
      <x:c r="A168" s="176" t="n">
        <x:v>164</x:v>
      </x:c>
      <x:c r="B168" s="224" t="b">
        <x:v>1</x:v>
      </x:c>
      <x:c r="C168" s="192" t="str">
        <x:v>CONVERGENCE: RELATIVE REDUCTION OF F &lt;= FACTR*EPSMCH</x:v>
      </x:c>
      <x:c r="D168" s="193" t="n">
        <x:v>21</x:v>
      </x:c>
      <x:c r="E168" s="193" t="n">
        <x:v>0.006605398471239487</x:v>
      </x:c>
      <x:c r="F168" s="225" t="n">
        <x:v>2.2314925233612817</x:v>
      </x:c>
    </x:row>
    <x:row r="169" ht="15" hidden="0" customHeight="1">
      <x:c r="A169" s="176" t="n">
        <x:v>165</x:v>
      </x:c>
      <x:c r="B169" s="224" t="b">
        <x:v>1</x:v>
      </x:c>
      <x:c r="C169" s="192" t="str">
        <x:v>CONVERGENCE: RELATIVE REDUCTION OF F &lt;= FACTR*EPSMCH</x:v>
      </x:c>
      <x:c r="D169" s="193" t="n">
        <x:v>18</x:v>
      </x:c>
      <x:c r="E169" s="193" t="n">
        <x:v>0.013262998450108277</x:v>
      </x:c>
      <x:c r="F169" s="225" t="n">
        <x:v>2.1030279435945487</x:v>
      </x:c>
    </x:row>
    <x:row r="170" ht="15" hidden="0" customHeight="1">
      <x:c r="A170" s="176" t="n">
        <x:v>166</x:v>
      </x:c>
      <x:c r="B170" s="224" t="b">
        <x:v>1</x:v>
      </x:c>
      <x:c r="C170" s="192" t="str">
        <x:v>CONVERGENCE: RELATIVE REDUCTION OF F &lt;= FACTR*EPSMCH</x:v>
      </x:c>
      <x:c r="D170" s="193" t="n">
        <x:v>16</x:v>
      </x:c>
      <x:c r="E170" s="193" t="n">
        <x:v>0.011593045160089504</x:v>
      </x:c>
      <x:c r="F170" s="225" t="n">
        <x:v>2.2286519543438783</x:v>
      </x:c>
    </x:row>
    <x:row r="171" ht="15" hidden="0" customHeight="1">
      <x:c r="A171" s="176" t="n">
        <x:v>167</x:v>
      </x:c>
      <x:c r="B171" s="224" t="b">
        <x:v>1</x:v>
      </x:c>
      <x:c r="C171" s="192" t="str">
        <x:v>CONVERGENCE: RELATIVE REDUCTION OF F &lt;= FACTR*EPSMCH</x:v>
      </x:c>
      <x:c r="D171" s="193" t="n">
        <x:v>16</x:v>
      </x:c>
      <x:c r="E171" s="193" t="n">
        <x:v>0.029485868551383243</x:v>
      </x:c>
      <x:c r="F171" s="225" t="n">
        <x:v>2.2301261703794273</x:v>
      </x:c>
    </x:row>
    <x:row r="172" ht="15" hidden="0" customHeight="1">
      <x:c r="A172" s="176" t="n">
        <x:v>168</x:v>
      </x:c>
      <x:c r="B172" s="224" t="b">
        <x:v>1</x:v>
      </x:c>
      <x:c r="C172" s="192" t="str">
        <x:v>CONVERGENCE: RELATIVE REDUCTION OF F &lt;= FACTR*EPSMCH</x:v>
      </x:c>
      <x:c r="D172" s="193" t="n">
        <x:v>20</x:v>
      </x:c>
      <x:c r="E172" s="193" t="n">
        <x:v>0.1259216999973839</x:v>
      </x:c>
      <x:c r="F172" s="225" t="n">
        <x:v>2.2556740162952935</x:v>
      </x:c>
    </x:row>
    <x:row r="173" ht="15" hidden="0" customHeight="1">
      <x:c r="A173" s="176" t="n">
        <x:v>169</x:v>
      </x:c>
      <x:c r="B173" s="224" t="b">
        <x:v>1</x:v>
      </x:c>
      <x:c r="C173" s="192" t="str">
        <x:v>CONVERGENCE: RELATIVE REDUCTION OF F &lt;= FACTR*EPSMCH</x:v>
      </x:c>
      <x:c r="D173" s="193" t="n">
        <x:v>18</x:v>
      </x:c>
      <x:c r="E173" s="193" t="n">
        <x:v>0.029988272136662712</x:v>
      </x:c>
      <x:c r="F173" s="225" t="n">
        <x:v>2.1883858005901633</x:v>
      </x:c>
    </x:row>
    <x:row r="174" ht="15" hidden="0" customHeight="1">
      <x:c r="A174" s="176" t="n">
        <x:v>170</x:v>
      </x:c>
      <x:c r="B174" s="224" t="b">
        <x:v>1</x:v>
      </x:c>
      <x:c r="C174" s="192" t="str">
        <x:v>CONVERGENCE: RELATIVE REDUCTION OF F &lt;= FACTR*EPSMCH</x:v>
      </x:c>
      <x:c r="D174" s="193" t="n">
        <x:v>19</x:v>
      </x:c>
      <x:c r="E174" s="193" t="n">
        <x:v>0.030430791750185916</x:v>
      </x:c>
      <x:c r="F174" s="225" t="n">
        <x:v>2.2380920859220508</x:v>
      </x:c>
    </x:row>
    <x:row r="175" ht="15" hidden="0" customHeight="1">
      <x:c r="A175" s="176" t="n">
        <x:v>171</x:v>
      </x:c>
      <x:c r="B175" s="224" t="b">
        <x:v>1</x:v>
      </x:c>
      <x:c r="C175" s="192" t="str">
        <x:v>CONVERGENCE: RELATIVE REDUCTION OF F &lt;= FACTR*EPSMCH</x:v>
      </x:c>
      <x:c r="D175" s="193" t="n">
        <x:v>19</x:v>
      </x:c>
      <x:c r="E175" s="193" t="n">
        <x:v>0.08501925980132474</x:v>
      </x:c>
      <x:c r="F175" s="225" t="n">
        <x:v>2.231459932412235</x:v>
      </x:c>
    </x:row>
    <x:row r="176" ht="15" hidden="0" customHeight="1">
      <x:c r="A176" s="176" t="n">
        <x:v>172</x:v>
      </x:c>
      <x:c r="B176" s="224" t="b">
        <x:v>1</x:v>
      </x:c>
      <x:c r="C176" s="192" t="str">
        <x:v>CONVERGENCE: RELATIVE REDUCTION OF F &lt;= FACTR*EPSMCH</x:v>
      </x:c>
      <x:c r="D176" s="193" t="n">
        <x:v>18</x:v>
      </x:c>
      <x:c r="E176" s="193" t="n">
        <x:v>0.006986550114186585</x:v>
      </x:c>
      <x:c r="F176" s="225" t="n">
        <x:v>2.227603901771106</x:v>
      </x:c>
    </x:row>
    <x:row r="177" ht="15" hidden="0" customHeight="1">
      <x:c r="A177" s="176" t="n">
        <x:v>173</x:v>
      </x:c>
      <x:c r="B177" s="224" t="b">
        <x:v>1</x:v>
      </x:c>
      <x:c r="C177" s="192" t="str">
        <x:v>CONVERGENCE: RELATIVE REDUCTION OF F &lt;= FACTR*EPSMCH</x:v>
      </x:c>
      <x:c r="D177" s="193" t="n">
        <x:v>17</x:v>
      </x:c>
      <x:c r="E177" s="193" t="n">
        <x:v>0.013308982911633849</x:v>
      </x:c>
      <x:c r="F177" s="225" t="n">
        <x:v>2.2712987556266744</x:v>
      </x:c>
    </x:row>
    <x:row r="178" ht="15" hidden="0" customHeight="1">
      <x:c r="A178" s="176" t="n">
        <x:v>174</x:v>
      </x:c>
      <x:c r="B178" s="224" t="b">
        <x:v>1</x:v>
      </x:c>
      <x:c r="C178" s="192" t="str">
        <x:v>CONVERGENCE: RELATIVE REDUCTION OF F &lt;= FACTR*EPSMCH</x:v>
      </x:c>
      <x:c r="D178" s="193" t="n">
        <x:v>19</x:v>
      </x:c>
      <x:c r="E178" s="193" t="n">
        <x:v>0.010471125987692273</x:v>
      </x:c>
      <x:c r="F178" s="225" t="n">
        <x:v>2.2285865601213968</x:v>
      </x:c>
    </x:row>
    <x:row r="179" ht="15" hidden="0" customHeight="1">
      <x:c r="A179" s="176" t="n">
        <x:v>175</x:v>
      </x:c>
      <x:c r="B179" s="224" t="b">
        <x:v>1</x:v>
      </x:c>
      <x:c r="C179" s="192" t="str">
        <x:v>CONVERGENCE: RELATIVE REDUCTION OF F &lt;= FACTR*EPSMCH</x:v>
      </x:c>
      <x:c r="D179" s="193" t="n">
        <x:v>18</x:v>
      </x:c>
      <x:c r="E179" s="193" t="n">
        <x:v>0.02159025649980606</x:v>
      </x:c>
      <x:c r="F179" s="225" t="n">
        <x:v>2.2299577328352367</x:v>
      </x:c>
    </x:row>
    <x:row r="180" ht="15" hidden="0" customHeight="1">
      <x:c r="A180" s="176" t="n">
        <x:v>176</x:v>
      </x:c>
      <x:c r="B180" s="224" t="b">
        <x:v>1</x:v>
      </x:c>
      <x:c r="C180" s="192" t="str">
        <x:v>CONVERGENCE: RELATIVE REDUCTION OF F &lt;= FACTR*EPSMCH</x:v>
      </x:c>
      <x:c r="D180" s="193" t="n">
        <x:v>15</x:v>
      </x:c>
      <x:c r="E180" s="193" t="n">
        <x:v>0.01907866892213001</x:v>
      </x:c>
      <x:c r="F180" s="225" t="n">
        <x:v>2.2179941607579243</x:v>
      </x:c>
    </x:row>
    <x:row r="181" ht="15" hidden="0" customHeight="1">
      <x:c r="A181" s="176" t="n">
        <x:v>177</x:v>
      </x:c>
      <x:c r="B181" s="224" t="b">
        <x:v>1</x:v>
      </x:c>
      <x:c r="C181" s="192" t="str">
        <x:v>CONVERGENCE: RELATIVE REDUCTION OF F &lt;= FACTR*EPSMCH</x:v>
      </x:c>
      <x:c r="D181" s="193" t="n">
        <x:v>17</x:v>
      </x:c>
      <x:c r="E181" s="193" t="n">
        <x:v>0.03629510815278714</x:v>
      </x:c>
      <x:c r="F181" s="225" t="n">
        <x:v>2.1641671559592406</x:v>
      </x:c>
    </x:row>
    <x:row r="182" ht="15" hidden="0" customHeight="1">
      <x:c r="A182" s="176" t="n">
        <x:v>178</x:v>
      </x:c>
      <x:c r="B182" s="224" t="b">
        <x:v>1</x:v>
      </x:c>
      <x:c r="C182" s="192" t="str">
        <x:v>CONVERGENCE: RELATIVE REDUCTION OF F &lt;= FACTR*EPSMCH</x:v>
      </x:c>
      <x:c r="D182" s="193" t="n">
        <x:v>11</x:v>
      </x:c>
      <x:c r="E182" s="193" t="n">
        <x:v>0.04283714528570498</x:v>
      </x:c>
      <x:c r="F182" s="225" t="n">
        <x:v>2.218208337269345</x:v>
      </x:c>
    </x:row>
    <x:row r="183" ht="15" hidden="0" customHeight="1">
      <x:c r="A183" s="176" t="n">
        <x:v>179</x:v>
      </x:c>
      <x:c r="B183" s="224" t="b">
        <x:v>1</x:v>
      </x:c>
      <x:c r="C183" s="192" t="str">
        <x:v>CONVERGENCE: RELATIVE REDUCTION OF F &lt;= FACTR*EPSMCH</x:v>
      </x:c>
      <x:c r="D183" s="193" t="n">
        <x:v>19</x:v>
      </x:c>
      <x:c r="E183" s="193" t="n">
        <x:v>0.013965544268915407</x:v>
      </x:c>
      <x:c r="F183" s="225" t="n">
        <x:v>2.18637649580569</x:v>
      </x:c>
    </x:row>
    <x:row r="184" ht="15" hidden="0" customHeight="1">
      <x:c r="A184" s="176" t="n">
        <x:v>180</x:v>
      </x:c>
      <x:c r="B184" s="224" t="b">
        <x:v>1</x:v>
      </x:c>
      <x:c r="C184" s="192" t="str">
        <x:v>CONVERGENCE: RELATIVE REDUCTION OF F &lt;= FACTR*EPSMCH</x:v>
      </x:c>
      <x:c r="D184" s="193" t="n">
        <x:v>20</x:v>
      </x:c>
      <x:c r="E184" s="193" t="n">
        <x:v>0.01788756884600734</x:v>
      </x:c>
      <x:c r="F184" s="225" t="n">
        <x:v>2.1444909413429167</x:v>
      </x:c>
    </x:row>
    <x:row r="185" ht="15" hidden="0" customHeight="1">
      <x:c r="A185" s="176" t="n">
        <x:v>181</x:v>
      </x:c>
      <x:c r="B185" s="224" t="b">
        <x:v>1</x:v>
      </x:c>
      <x:c r="C185" s="192" t="str">
        <x:v>CONVERGENCE: RELATIVE REDUCTION OF F &lt;= FACTR*EPSMCH</x:v>
      </x:c>
      <x:c r="D185" s="193" t="n">
        <x:v>17</x:v>
      </x:c>
      <x:c r="E185" s="193" t="n">
        <x:v>0.011445898635539874</x:v>
      </x:c>
      <x:c r="F185" s="225" t="n">
        <x:v>2.1842745643021493</x:v>
      </x:c>
    </x:row>
    <x:row r="186" ht="15" hidden="0" customHeight="1">
      <x:c r="A186" s="176" t="n">
        <x:v>182</x:v>
      </x:c>
      <x:c r="B186" s="224" t="b">
        <x:v>1</x:v>
      </x:c>
      <x:c r="C186" s="192" t="str">
        <x:v>CONVERGENCE: RELATIVE REDUCTION OF F &lt;= FACTR*EPSMCH</x:v>
      </x:c>
      <x:c r="D186" s="193" t="n">
        <x:v>21</x:v>
      </x:c>
      <x:c r="E186" s="193" t="n">
        <x:v>0.01924599561787241</x:v>
      </x:c>
      <x:c r="F186" s="225" t="n">
        <x:v>2.1621693234921318</x:v>
      </x:c>
    </x:row>
    <x:row r="187" ht="15" hidden="0" customHeight="1">
      <x:c r="A187" s="176" t="n">
        <x:v>183</x:v>
      </x:c>
      <x:c r="B187" s="224" t="b">
        <x:v>1</x:v>
      </x:c>
      <x:c r="C187" s="192" t="str">
        <x:v>CONVERGENCE: RELATIVE REDUCTION OF F &lt;= FACTR*EPSMCH</x:v>
      </x:c>
      <x:c r="D187" s="193" t="n">
        <x:v>22</x:v>
      </x:c>
      <x:c r="E187" s="193" t="n">
        <x:v>0.011626638438246545</x:v>
      </x:c>
      <x:c r="F187" s="225" t="n">
        <x:v>2.1732787901020956</x:v>
      </x:c>
    </x:row>
    <x:row r="188" ht="15" hidden="0" customHeight="1">
      <x:c r="A188" s="176" t="n">
        <x:v>184</x:v>
      </x:c>
      <x:c r="B188" s="224" t="b">
        <x:v>1</x:v>
      </x:c>
      <x:c r="C188" s="192" t="str">
        <x:v>CONVERGENCE: RELATIVE REDUCTION OF F &lt;= FACTR*EPSMCH</x:v>
      </x:c>
      <x:c r="D188" s="193" t="n">
        <x:v>15</x:v>
      </x:c>
      <x:c r="E188" s="193" t="n">
        <x:v>0.01811857190384325</x:v>
      </x:c>
      <x:c r="F188" s="225" t="n">
        <x:v>2.3210000210364474</x:v>
      </x:c>
    </x:row>
    <x:row r="189" ht="15" hidden="0" customHeight="1">
      <x:c r="A189" s="176" t="n">
        <x:v>185</x:v>
      </x:c>
      <x:c r="B189" s="224" t="b">
        <x:v>1</x:v>
      </x:c>
      <x:c r="C189" s="192" t="str">
        <x:v>CONVERGENCE: RELATIVE REDUCTION OF F &lt;= FACTR*EPSMCH</x:v>
      </x:c>
      <x:c r="D189" s="193" t="n">
        <x:v>17</x:v>
      </x:c>
      <x:c r="E189" s="193" t="n">
        <x:v>0.010444791812341592</x:v>
      </x:c>
      <x:c r="F189" s="225" t="n">
        <x:v>2.168619940198548</x:v>
      </x:c>
    </x:row>
    <x:row r="190" ht="15" hidden="0" customHeight="1">
      <x:c r="A190" s="176" t="n">
        <x:v>186</x:v>
      </x:c>
      <x:c r="B190" s="224" t="b">
        <x:v>1</x:v>
      </x:c>
      <x:c r="C190" s="192" t="str">
        <x:v>CONVERGENCE: RELATIVE REDUCTION OF F &lt;= FACTR*EPSMCH</x:v>
      </x:c>
      <x:c r="D190" s="193" t="n">
        <x:v>25</x:v>
      </x:c>
      <x:c r="E190" s="193" t="n">
        <x:v>0.014572237552612666</x:v>
      </x:c>
      <x:c r="F190" s="225" t="n">
        <x:v>2.2414549163423523</x:v>
      </x:c>
    </x:row>
    <x:row r="191" ht="15" hidden="0" customHeight="1">
      <x:c r="A191" s="176" t="n">
        <x:v>187</x:v>
      </x:c>
      <x:c r="B191" s="224" t="b">
        <x:v>1</x:v>
      </x:c>
      <x:c r="C191" s="192" t="str">
        <x:v>CONVERGENCE: RELATIVE REDUCTION OF F &lt;= FACTR*EPSMCH</x:v>
      </x:c>
      <x:c r="D191" s="193" t="n">
        <x:v>18</x:v>
      </x:c>
      <x:c r="E191" s="193" t="n">
        <x:v>0.01719278787638147</x:v>
      </x:c>
      <x:c r="F191" s="225" t="n">
        <x:v>2.2420857008204673</x:v>
      </x:c>
    </x:row>
    <x:row r="192" ht="15" hidden="0" customHeight="1">
      <x:c r="A192" s="176" t="n">
        <x:v>188</x:v>
      </x:c>
      <x:c r="B192" s="224" t="b">
        <x:v>1</x:v>
      </x:c>
      <x:c r="C192" s="192" t="str">
        <x:v>CONVERGENCE: RELATIVE REDUCTION OF F &lt;= FACTR*EPSMCH</x:v>
      </x:c>
      <x:c r="D192" s="193" t="n">
        <x:v>19</x:v>
      </x:c>
      <x:c r="E192" s="193" t="n">
        <x:v>0.06446417577537167</x:v>
      </x:c>
      <x:c r="F192" s="225" t="n">
        <x:v>2.204528598018178</x:v>
      </x:c>
    </x:row>
    <x:row r="193" ht="15" hidden="0" customHeight="1">
      <x:c r="A193" s="176" t="n">
        <x:v>189</x:v>
      </x:c>
      <x:c r="B193" s="224" t="b">
        <x:v>1</x:v>
      </x:c>
      <x:c r="C193" s="192" t="str">
        <x:v>CONVERGENCE: RELATIVE REDUCTION OF F &lt;= FACTR*EPSMCH</x:v>
      </x:c>
      <x:c r="D193" s="193" t="n">
        <x:v>16</x:v>
      </x:c>
      <x:c r="E193" s="193" t="n">
        <x:v>0.0130671841025118</x:v>
      </x:c>
      <x:c r="F193" s="225" t="n">
        <x:v>2.2056435902391103</x:v>
      </x:c>
    </x:row>
    <x:row r="194" ht="15" hidden="0" customHeight="1">
      <x:c r="A194" s="176" t="n">
        <x:v>190</x:v>
      </x:c>
      <x:c r="B194" s="224" t="b">
        <x:v>1</x:v>
      </x:c>
      <x:c r="C194" s="192" t="str">
        <x:v>CONVERGENCE: RELATIVE REDUCTION OF F &lt;= FACTR*EPSMCH</x:v>
      </x:c>
      <x:c r="D194" s="193" t="n">
        <x:v>9</x:v>
      </x:c>
      <x:c r="E194" s="193" t="n">
        <x:v>0.029793096805987962</x:v>
      </x:c>
      <x:c r="F194" s="225" t="n">
        <x:v>2.229937813770576</x:v>
      </x:c>
    </x:row>
    <x:row r="195" ht="15" hidden="0" customHeight="1">
      <x:c r="A195" s="176" t="n">
        <x:v>191</x:v>
      </x:c>
      <x:c r="B195" s="224" t="b">
        <x:v>1</x:v>
      </x:c>
      <x:c r="C195" s="192" t="str">
        <x:v>CONVERGENCE: RELATIVE REDUCTION OF F &lt;= FACTR*EPSMCH</x:v>
      </x:c>
      <x:c r="D195" s="193" t="n">
        <x:v>16</x:v>
      </x:c>
      <x:c r="E195" s="193" t="n">
        <x:v>0.01111791052192325</x:v>
      </x:c>
      <x:c r="F195" s="225" t="n">
        <x:v>2.235208466734035</x:v>
      </x:c>
    </x:row>
    <x:row r="196" ht="15" hidden="0" customHeight="1">
      <x:c r="A196" s="176" t="n">
        <x:v>192</x:v>
      </x:c>
      <x:c r="B196" s="224" t="b">
        <x:v>1</x:v>
      </x:c>
      <x:c r="C196" s="192" t="str">
        <x:v>CONVERGENCE: RELATIVE REDUCTION OF F &lt;= FACTR*EPSMCH</x:v>
      </x:c>
      <x:c r="D196" s="193" t="n">
        <x:v>19</x:v>
      </x:c>
      <x:c r="E196" s="193" t="n">
        <x:v>0.028988184817728246</x:v>
      </x:c>
      <x:c r="F196" s="225" t="n">
        <x:v>2.160898934020398</x:v>
      </x:c>
    </x:row>
    <x:row r="197" ht="15" hidden="0" customHeight="1">
      <x:c r="A197" s="176" t="n">
        <x:v>193</x:v>
      </x:c>
      <x:c r="B197" s="224" t="b">
        <x:v>1</x:v>
      </x:c>
      <x:c r="C197" s="192" t="str">
        <x:v>CONVERGENCE: RELATIVE REDUCTION OF F &lt;= FACTR*EPSMCH</x:v>
      </x:c>
      <x:c r="D197" s="193" t="n">
        <x:v>16</x:v>
      </x:c>
      <x:c r="E197" s="193" t="n">
        <x:v>0.011876861905466588</x:v>
      </x:c>
      <x:c r="F197" s="225" t="n">
        <x:v>2.226096838518977</x:v>
      </x:c>
    </x:row>
    <x:row r="198" ht="15" hidden="0" customHeight="1">
      <x:c r="A198" s="176" t="n">
        <x:v>194</x:v>
      </x:c>
      <x:c r="B198" s="224" t="b">
        <x:v>1</x:v>
      </x:c>
      <x:c r="C198" s="192" t="str">
        <x:v>CONVERGENCE: RELATIVE REDUCTION OF F &lt;= FACTR*EPSMCH</x:v>
      </x:c>
      <x:c r="D198" s="193" t="n">
        <x:v>17</x:v>
      </x:c>
      <x:c r="E198" s="193" t="n">
        <x:v>0.04109089543157163</x:v>
      </x:c>
      <x:c r="F198" s="225" t="n">
        <x:v>2.149652358659756</x:v>
      </x:c>
    </x:row>
    <x:row r="199" ht="15" hidden="0" customHeight="1">
      <x:c r="A199" s="176" t="n">
        <x:v>195</x:v>
      </x:c>
      <x:c r="B199" s="224" t="b">
        <x:v>1</x:v>
      </x:c>
      <x:c r="C199" s="192" t="str">
        <x:v>CONVERGENCE: RELATIVE REDUCTION OF F &lt;= FACTR*EPSMCH</x:v>
      </x:c>
      <x:c r="D199" s="193" t="n">
        <x:v>14</x:v>
      </x:c>
      <x:c r="E199" s="193" t="n">
        <x:v>0.046271134372287026</x:v>
      </x:c>
      <x:c r="F199" s="225" t="n">
        <x:v>2.2163218002533216</x:v>
      </x:c>
    </x:row>
    <x:row r="200" ht="15" hidden="0" customHeight="1">
      <x:c r="A200" s="176" t="n">
        <x:v>196</x:v>
      </x:c>
      <x:c r="B200" s="224" t="b">
        <x:v>1</x:v>
      </x:c>
      <x:c r="C200" s="192" t="str">
        <x:v>CONVERGENCE: RELATIVE REDUCTION OF F &lt;= FACTR*EPSMCH</x:v>
      </x:c>
      <x:c r="D200" s="193" t="n">
        <x:v>14</x:v>
      </x:c>
      <x:c r="E200" s="193" t="n">
        <x:v>0.02989113702828631</x:v>
      </x:c>
      <x:c r="F200" s="225" t="n">
        <x:v>2.22891803491551</x:v>
      </x:c>
    </x:row>
    <x:row r="201" ht="15" hidden="0" customHeight="1">
      <x:c r="A201" s="176" t="n">
        <x:v>197</x:v>
      </x:c>
      <x:c r="B201" s="224" t="b">
        <x:v>1</x:v>
      </x:c>
      <x:c r="C201" s="192" t="str">
        <x:v>CONVERGENCE: RELATIVE REDUCTION OF F &lt;= FACTR*EPSMCH</x:v>
      </x:c>
      <x:c r="D201" s="193" t="n">
        <x:v>14</x:v>
      </x:c>
      <x:c r="E201" s="193" t="n">
        <x:v>0.018375748876010845</x:v>
      </x:c>
      <x:c r="F201" s="225" t="n">
        <x:v>2.188381701680191</x:v>
      </x:c>
    </x:row>
    <x:row r="202" ht="15" hidden="0" customHeight="1">
      <x:c r="A202" s="176" t="n">
        <x:v>198</x:v>
      </x:c>
      <x:c r="B202" s="224" t="b">
        <x:v>1</x:v>
      </x:c>
      <x:c r="C202" s="192" t="str">
        <x:v>CONVERGENCE: RELATIVE REDUCTION OF F &lt;= FACTR*EPSMCH</x:v>
      </x:c>
      <x:c r="D202" s="193" t="n">
        <x:v>18</x:v>
      </x:c>
      <x:c r="E202" s="193" t="n">
        <x:v>0.032657360016891346</x:v>
      </x:c>
      <x:c r="F202" s="225" t="n">
        <x:v>2.2128379504949285</x:v>
      </x:c>
    </x:row>
    <x:row r="203" ht="15" hidden="0" customHeight="1">
      <x:c r="A203" s="176" t="n">
        <x:v>199</x:v>
      </x:c>
      <x:c r="B203" s="224" t="b">
        <x:v>1</x:v>
      </x:c>
      <x:c r="C203" s="192" t="str">
        <x:v>CONVERGENCE: RELATIVE REDUCTION OF F &lt;= FACTR*EPSMCH</x:v>
      </x:c>
      <x:c r="D203" s="193" t="n">
        <x:v>20</x:v>
      </x:c>
      <x:c r="E203" s="193" t="n">
        <x:v>0.04764646750373639</x:v>
      </x:c>
      <x:c r="F203" s="225" t="n">
        <x:v>2.2200864161625815</x:v>
      </x:c>
    </x:row>
    <x:row r="204" ht="15" hidden="0" customHeight="1">
      <x:c r="A204" s="183" t="n">
        <x:v>200</x:v>
      </x:c>
      <x:c r="B204" s="226" t="b">
        <x:v>1</x:v>
      </x:c>
      <x:c r="C204" s="195" t="str">
        <x:v>CONVERGENCE: RELATIVE REDUCTION OF F &lt;= FACTR*EPSMCH</x:v>
      </x:c>
      <x:c r="D204" s="196" t="n">
        <x:v>21</x:v>
      </x:c>
      <x:c r="E204" s="196" t="n">
        <x:v>0.03487997285607733</x:v>
      </x:c>
      <x:c r="F204" s="227" t="n">
        <x:v>2.15988655031346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5" hidden="0" customWidth="1"/>
    <x:col min="3" max="3" width="15" hidden="0" customWidth="1"/>
    <x:col min="4" max="4" width="14" hidden="0" customWidth="1"/>
    <x:col min="5" max="5" width="3" hidden="0" customWidth="1"/>
    <x:col min="6" max="6" width="18" hidden="0" customWidth="1"/>
    <x:col min="7" max="7" width="3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1.600000381469727" hidden="0" customHeight="1">
      <x:c r="A1" s="165" t="str">
        <x:v>Methods, reproducibility, and decision thresholds</x:v>
      </x:c>
      <x:c r="B1" s="165" t="str">
        <x:v>Methods, reproducibility, and decision thresholds</x:v>
      </x:c>
      <x:c r="C1" s="165" t="str">
        <x:v>Methods, reproducibility, and decision thresholds</x:v>
      </x:c>
      <x:c r="D1" s="165" t="str">
        <x:v>Methods, reproducibility, and decision thresholds</x:v>
      </x:c>
      <x:c r="E1" s="165" t="str">
        <x:v>Methods, reproducibility, and decision thresholds</x:v>
      </x:c>
      <x:c r="F1" s="165" t="str">
        <x:v>Methods, reproducibility, and decision thresholds</x:v>
      </x:c>
      <x:c r="G1" s="165" t="str">
        <x:v>Methods, reproducibility, and decision thresholds</x:v>
      </x:c>
      <x:c r="H1" s="165" t="str">
        <x:v>Methods, reproducibility, and decision thresholds</x:v>
      </x:c>
      <x:c r="I1" s="165" t="str">
        <x:v>Methods, reproducibility, and decision thresholds</x:v>
      </x:c>
      <x:c r="J1" s="165" t="str">
        <x:v>Methods, reproducibility, and decision thresholds</x:v>
      </x:c>
      <x:c r="K1" s="165" t="str">
        <x:v>Methods, reproducibility, and decision thresholds</x:v>
      </x:c>
      <x:c r="L1" s="165" t="str">
        <x:v>Methods, reproducibility, and decision thresholds</x:v>
      </x:c>
    </x:row>
    <x:row r="2" ht="15" hidden="0" customHeight="1">
      <x:c r="A2" s="166" t="str">
        <x:v>All analyses use upload/scores.csv primary responses and upload/latent_reliability(1).csv final VB point estimates. No new model generation was performed.</x:v>
      </x:c>
      <x:c r="B2" s="166" t="str">
        <x:v>All analyses use upload/scores.csv primary responses and upload/latent_reliability(1).csv final VB point estimates. No new model generation was performed.</x:v>
      </x:c>
      <x:c r="C2" s="166" t="str">
        <x:v>All analyses use upload/scores.csv primary responses and upload/latent_reliability(1).csv final VB point estimates. No new model generation was performed.</x:v>
      </x:c>
      <x:c r="D2" s="166" t="str">
        <x:v>All analyses use upload/scores.csv primary responses and upload/latent_reliability(1).csv final VB point estimates. No new model generation was performed.</x:v>
      </x:c>
      <x:c r="E2" s="166" t="str">
        <x:v>All analyses use upload/scores.csv primary responses and upload/latent_reliability(1).csv final VB point estimates. No new model generation was performed.</x:v>
      </x:c>
      <x:c r="F2" s="166" t="str">
        <x:v>All analyses use upload/scores.csv primary responses and upload/latent_reliability(1).csv final VB point estimates. No new model generation was performed.</x:v>
      </x:c>
      <x:c r="G2" s="166" t="str">
        <x:v>All analyses use upload/scores.csv primary responses and upload/latent_reliability(1).csv final VB point estimates. No new model generation was performed.</x:v>
      </x:c>
      <x:c r="H2" s="166" t="str">
        <x:v>All analyses use upload/scores.csv primary responses and upload/latent_reliability(1).csv final VB point estimates. No new model generation was performed.</x:v>
      </x:c>
      <x:c r="I2" s="166" t="str">
        <x:v>All analyses use upload/scores.csv primary responses and upload/latent_reliability(1).csv final VB point estimates. No new model generation was performed.</x:v>
      </x:c>
      <x:c r="J2" s="166" t="str">
        <x:v>All analyses use upload/scores.csv primary responses and upload/latent_reliability(1).csv final VB point estimates. No new model generation was performed.</x:v>
      </x:c>
      <x:c r="K2" s="166" t="str">
        <x:v>All analyses use upload/scores.csv primary responses and upload/latent_reliability(1).csv final VB point estimates. No new model generation was performed.</x:v>
      </x:c>
      <x:c r="L2" s="166" t="str">
        <x:v>All analyses use upload/scores.csv primary responses and upload/latent_reliability(1).csv final VB point estimates. No new model generation was performed.</x:v>
      </x:c>
    </x:row>
    <x:row r="3" ht="15" hidden="0" customHeight="1">
      <x:c r="A3" s="167"/>
      <x:c r="B3" s="167"/>
      <x:c r="C3" s="167"/>
      <x:c r="D3" s="167"/>
      <x:c r="E3" s="167"/>
      <x:c r="F3" s="167"/>
      <x:c r="G3" s="167"/>
      <x:c r="H3" s="167"/>
      <x:c r="I3" s="167"/>
      <x:c r="J3" s="167"/>
      <x:c r="K3" s="167"/>
      <x:c r="L3" s="167"/>
    </x:row>
    <x:row r="4" ht="15" hidden="0" customHeight="1">
      <x:c r="A4" s="170" t="str">
        <x:v>Multiplicity correction</x:v>
      </x:c>
      <x:c r="B4" s="170" t="str">
        <x:v>Multiplicity correction</x:v>
      </x:c>
      <x:c r="C4" s="170" t="str">
        <x:v>Multiplicity correction</x:v>
      </x:c>
      <x:c r="D4" s="170" t="str">
        <x:v>Multiplicity correction</x:v>
      </x:c>
      <x:c r="E4" s="170" t="str">
        <x:v>Multiplicity correction</x:v>
      </x:c>
      <x:c r="F4" s="170" t="str">
        <x:v>Multiplicity correction</x:v>
      </x:c>
      <x:c r="G4" s="167"/>
      <x:c r="H4" s="170" t="str">
        <x:v>Complete-refit validation</x:v>
      </x:c>
      <x:c r="I4" s="170" t="str">
        <x:v>Complete-refit validation</x:v>
      </x:c>
      <x:c r="J4" s="170" t="str">
        <x:v>Complete-refit validation</x:v>
      </x:c>
      <x:c r="K4" s="170" t="str">
        <x:v>Complete-refit validation</x:v>
      </x:c>
      <x:c r="L4" s="170" t="str">
        <x:v>Complete-refit validation</x:v>
      </x:c>
    </x:row>
    <x:row r="5" ht="15" hidden="0" customHeight="1">
      <x:c r="A5" s="198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B5" s="199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C5" s="199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D5" s="199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E5" s="199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F5" s="200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G5" s="167"/>
      <x:c r="H5" s="198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I5" s="199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J5" s="199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K5" s="199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L5" s="200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</x:row>
    <x:row r="6" ht="15" hidden="0" customHeight="1">
      <x:c r="A6" s="201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B6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C6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D6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E6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F6" s="203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G6" s="167"/>
      <x:c r="H6" s="201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I6" s="202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J6" s="202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K6" s="202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L6" s="203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</x:row>
    <x:row r="7" ht="15" hidden="0" customHeight="1">
      <x:c r="A7" s="201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B7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C7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D7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E7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F7" s="203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G7" s="167"/>
      <x:c r="H7" s="201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I7" s="202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J7" s="202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K7" s="202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L7" s="203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</x:row>
    <x:row r="8" ht="15" hidden="0" customHeight="1">
      <x:c r="A8" s="201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B8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C8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D8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E8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F8" s="203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G8" s="167"/>
      <x:c r="H8" s="201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I8" s="202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J8" s="202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K8" s="202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L8" s="203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</x:row>
    <x:row r="9" ht="15" hidden="0" customHeight="1">
      <x:c r="A9" s="201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B9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C9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D9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E9" s="202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F9" s="203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G9" s="167"/>
      <x:c r="H9" s="201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I9" s="202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J9" s="202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K9" s="202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L9" s="203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</x:row>
    <x:row r="10" ht="15" hidden="0" customHeight="1">
      <x:c r="A10" s="204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B10" s="205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C10" s="205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D10" s="205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E10" s="205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F10" s="206" t="str">
        <x:v>Six pairwise differences-in-differences were formed from the 5,000 paired bootstrap condition-effect draws. Two-sided bootstrap p-values used a plus-one correction and were adjusted by Holm's step-down method. max-|t| simultaneous 95% intervals used the 95th percentile of the maximum absolute centered t statistic across all six contrasts; the critical value was 2.5388.</x:v>
      </x:c>
      <x:c r="G10" s="167"/>
      <x:c r="H10" s="204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I10" s="205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J10" s="205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K10" s="205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  <x:c r="L10" s="206" t="str">
        <x:v>The first 200 benchmark-stratified paired-item resamples were evaluated by both the one-step influence-function approximation and complete 15-point quadrature-MAP refitting. Response-pattern aggregation reduced 7,738 items to 694 unique benchmark-pattern cells without changing the likelihood. All comparisons use identical bootstrap samples.</x:v>
      </x:c>
    </x:row>
    <x:row r="11" ht="15" hidden="0" customHeight="1">
      <x:c r="A11" s="167"/>
      <x:c r="B11" s="167"/>
      <x:c r="C11" s="167"/>
      <x:c r="D11" s="167"/>
      <x:c r="E11" s="167"/>
      <x:c r="F11" s="167"/>
      <x:c r="G11" s="167"/>
      <x:c r="H11" s="167"/>
      <x:c r="I11" s="167"/>
      <x:c r="J11" s="167"/>
      <x:c r="K11" s="167"/>
      <x:c r="L11" s="167"/>
    </x:row>
    <x:row r="12" ht="15" hidden="0" customHeight="1">
      <x:c r="A12" s="170" t="str">
        <x:v>Pre-specified validation thresholds</x:v>
      </x:c>
      <x:c r="B12" s="170" t="str">
        <x:v>Pre-specified validation thresholds</x:v>
      </x:c>
      <x:c r="C12" s="170" t="str">
        <x:v>Pre-specified validation thresholds</x:v>
      </x:c>
      <x:c r="D12" s="170" t="str">
        <x:v>Pre-specified validation thresholds</x:v>
      </x:c>
      <x:c r="E12" s="170" t="str">
        <x:v>Pre-specified validation thresholds</x:v>
      </x:c>
      <x:c r="F12" s="170" t="str">
        <x:v>Interpretation limit</x:v>
      </x:c>
      <x:c r="G12" s="170" t="str">
        <x:v>Interpretation limit</x:v>
      </x:c>
      <x:c r="H12" s="170" t="str">
        <x:v>Interpretation limit</x:v>
      </x:c>
      <x:c r="I12" s="170" t="str">
        <x:v>Interpretation limit</x:v>
      </x:c>
      <x:c r="J12" s="170" t="str">
        <x:v>Interpretation limit</x:v>
      </x:c>
      <x:c r="K12" s="170" t="str">
        <x:v>Interpretation limit</x:v>
      </x:c>
      <x:c r="L12" s="170" t="str">
        <x:v>Interpretation limit</x:v>
      </x:c>
    </x:row>
    <x:row r="13" ht="15" hidden="0" customHeight="1">
      <x:c r="A13" s="168" t="str">
        <x:v>Criterion</x:v>
      </x:c>
      <x:c r="B13" s="188" t="str">
        <x:v>Threshold</x:v>
      </x:c>
      <x:c r="C13" s="188" t="str">
        <x:v>Observed</x:v>
      </x:c>
      <x:c r="D13" s="169" t="str">
        <x:v>Decision</x:v>
      </x:c>
      <x:c r="E13" s="167"/>
      <x:c r="F13" s="228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G13" s="229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H13" s="229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I13" s="229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J13" s="229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K13" s="229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L13" s="230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</x:row>
    <x:row r="14" ht="15" hidden="0" customHeight="1">
      <x:c r="A14" s="171" t="str">
        <x:v>Accepted complete-refit rate</x:v>
      </x:c>
      <x:c r="B14" s="213" t="n">
        <x:v>0.95</x:v>
      </x:c>
      <x:c r="C14" s="213" t="n">
        <x:v>1</x:v>
      </x:c>
      <x:c r="D14" s="191" t="str">
        <x:f>IF(C14&gt;=B14,"PASS","REVIEW")</x:f>
        <x:v>PASS</x:v>
      </x:c>
      <x:c r="E14" s="167"/>
      <x:c r="F14" s="231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G14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H14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I14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J14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K14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L14" s="233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</x:row>
    <x:row r="15" ht="15" hidden="0" customHeight="1">
      <x:c r="A15" s="176" t="str">
        <x:v>Maximum condition-effect MAE</x:v>
      </x:c>
      <x:c r="B15" s="215" t="n">
        <x:v>0.005</x:v>
      </x:c>
      <x:c r="C15" s="215" t="n">
        <x:v>0.00008339116711360117</x:v>
      </x:c>
      <x:c r="D15" s="194" t="str">
        <x:f>IF(C15&lt;=B15,"PASS","REVIEW")</x:f>
        <x:v>PASS</x:v>
      </x:c>
      <x:c r="E15" s="167"/>
      <x:c r="F15" s="231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G15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H15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I15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J15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K15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L15" s="233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</x:row>
    <x:row r="16" ht="15" hidden="0" customHeight="1">
      <x:c r="A16" s="176" t="str">
        <x:v>Maximum primary-score MAE</x:v>
      </x:c>
      <x:c r="B16" s="215" t="n">
        <x:v>0.005</x:v>
      </x:c>
      <x:c r="C16" s="215" t="n">
        <x:v>0.0005117691730778584</x:v>
      </x:c>
      <x:c r="D16" s="194" t="str">
        <x:f>IF(C16&lt;=B16,"PASS","REVIEW")</x:f>
        <x:v>PASS</x:v>
      </x:c>
      <x:c r="E16" s="167"/>
      <x:c r="F16" s="231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G16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H16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I16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J16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K16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L16" s="233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</x:row>
    <x:row r="17" ht="15" hidden="0" customHeight="1">
      <x:c r="A17" s="176" t="str">
        <x:v>Minimum correlation</x:v>
      </x:c>
      <x:c r="B17" s="215" t="n">
        <x:v>0.95</x:v>
      </x:c>
      <x:c r="C17" s="215" t="n">
        <x:v>0.9980659639585917</x:v>
      </x:c>
      <x:c r="D17" s="194" t="str">
        <x:f>IF(C17&gt;=B17,"PASS","REVIEW")</x:f>
        <x:v>PASS</x:v>
      </x:c>
      <x:c r="E17" s="167"/>
      <x:c r="F17" s="231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G17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H17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I17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J17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K17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L17" s="233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</x:row>
    <x:row r="18" ht="15" hidden="0" customHeight="1">
      <x:c r="A18" s="176" t="str">
        <x:v>CI-width ratio lower bound</x:v>
      </x:c>
      <x:c r="B18" s="215" t="n">
        <x:v>0.8</x:v>
      </x:c>
      <x:c r="C18" s="215" t="n">
        <x:v>0.9693101572567748</x:v>
      </x:c>
      <x:c r="D18" s="194" t="str">
        <x:f>IF(C18&gt;=B18,"PASS","REVIEW")</x:f>
        <x:v>PASS</x:v>
      </x:c>
      <x:c r="E18" s="167"/>
      <x:c r="F18" s="231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G18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H18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I18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J18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K18" s="232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L18" s="233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</x:row>
    <x:row r="19" ht="15" hidden="0" customHeight="1">
      <x:c r="A19" s="183" t="str">
        <x:v>CI-width ratio upper bound</x:v>
      </x:c>
      <x:c r="B19" s="217" t="n">
        <x:v>1.2</x:v>
      </x:c>
      <x:c r="C19" s="217" t="n">
        <x:v>1.0159389045634517</x:v>
      </x:c>
      <x:c r="D19" s="197" t="str">
        <x:f>IF(C19&lt;=B19,"PASS","REVIEW")</x:f>
        <x:v>PASS</x:v>
      </x:c>
      <x:c r="E19" s="167"/>
      <x:c r="F19" s="234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G19" s="235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H19" s="235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I19" s="235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J19" s="235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K19" s="235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  <x:c r="L19" s="236" t="str">
        <x:v>The one-step method is validated as an accurate approximation for this dataset and resampling design, not as a universal substitute for complete refitting. The 200 complete refits are used for method validation; the 5,000 one-step draws remain the higher-precision basis for the multiplicity-adjusted inference.</x:v>
      </x:c>
    </x:row>
  </x:sheetData>
  <x:mergeCells>
    <x:mergeCell ref="A1:L1"/>
    <x:mergeCell ref="A2:L2"/>
    <x:mergeCell ref="A4:F4"/>
    <x:mergeCell ref="A5:F10"/>
    <x:mergeCell ref="H4:L4"/>
    <x:mergeCell ref="H5:L10"/>
    <x:mergeCell ref="A12:F12"/>
    <x:mergeCell ref="F12:L12"/>
    <x:mergeCell ref="F13:L19"/>
  </x:mergeCells>
  <x:conditionalFormatting sqref="D14:D19">
    <x:cfRule type="containsText" dxfId="5" priority="1" operator="containsText" text="PASS"/>
  </x:conditionalFormatting>
  <x:pageMargins left="0.7" right="0.7" top="0.75" bottom="0.75" header="0.3" footer="0.3"/>
</x:worksheet>
</file>